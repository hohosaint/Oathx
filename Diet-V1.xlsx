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e683720c81990/Diet/"/>
    </mc:Choice>
  </mc:AlternateContent>
  <xr:revisionPtr revIDLastSave="5" documentId="8_{98D0286C-0B2C-364E-9C03-2CB50F072F59}" xr6:coauthVersionLast="47" xr6:coauthVersionMax="47" xr10:uidLastSave="{892078A5-1C58-594B-8854-65D7258CF813}"/>
  <bookViews>
    <workbookView xWindow="38400" yWindow="600" windowWidth="38400" windowHeight="21000" activeTab="1" xr2:uid="{26BDCD69-1F2A-418F-88F6-7A1EDBAE0E36}"/>
  </bookViews>
  <sheets>
    <sheet name="Macro Goals" sheetId="55" r:id="rId1"/>
    <sheet name="Daily Intake" sheetId="57" r:id="rId2"/>
    <sheet name="Food Library" sheetId="56" r:id="rId3"/>
    <sheet name="MaintenanceReport20261016(60)" sheetId="97" r:id="rId4"/>
  </sheets>
  <definedNames>
    <definedName name="dd" localSheetId="3">FoodLibrary[Food Name]</definedName>
    <definedName name="dd">FoodLibrary[Food Name]</definedName>
    <definedName name="FoodList" localSheetId="3">FoodLibrary[Food Name]</definedName>
    <definedName name="FoodList">FoodLibrary[Food Name]</definedName>
    <definedName name="FoodNameList" localSheetId="3">FoodLibrary[Food Name]</definedName>
    <definedName name="FoodNameList">FoodLibrary[Food Name]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6" i="97" l="1"/>
  <c r="Q65" i="97"/>
  <c r="Q64" i="97"/>
  <c r="Q63" i="97"/>
  <c r="Q62" i="97"/>
  <c r="Q61" i="97"/>
  <c r="Q60" i="97"/>
  <c r="Q59" i="97"/>
  <c r="Q58" i="97"/>
  <c r="Q57" i="97"/>
  <c r="Q56" i="97"/>
  <c r="Q55" i="97"/>
  <c r="Q54" i="97"/>
  <c r="Q53" i="97"/>
  <c r="Q52" i="97"/>
  <c r="Q51" i="97"/>
  <c r="Q50" i="97"/>
  <c r="Q49" i="97"/>
  <c r="Q48" i="97"/>
  <c r="Q47" i="97"/>
  <c r="Q46" i="97"/>
  <c r="Q45" i="97"/>
  <c r="Q44" i="97"/>
  <c r="Q43" i="97"/>
  <c r="Q42" i="97"/>
  <c r="Q41" i="97"/>
  <c r="Q40" i="97"/>
  <c r="Q39" i="97"/>
  <c r="Q38" i="97"/>
  <c r="Q37" i="97"/>
  <c r="Q36" i="97"/>
  <c r="Q35" i="97"/>
  <c r="Q34" i="97"/>
  <c r="Q33" i="97"/>
  <c r="Q32" i="97"/>
  <c r="Q31" i="97"/>
  <c r="Q30" i="97"/>
  <c r="Q29" i="97"/>
  <c r="Q28" i="97"/>
  <c r="Q27" i="97"/>
  <c r="Q26" i="97"/>
  <c r="Q25" i="97"/>
  <c r="Q24" i="97"/>
  <c r="Q23" i="97"/>
  <c r="Q22" i="97"/>
  <c r="Q21" i="97"/>
  <c r="Q20" i="97"/>
  <c r="Q19" i="97"/>
  <c r="Q18" i="97"/>
  <c r="Q17" i="97"/>
  <c r="Q16" i="97"/>
  <c r="Q15" i="97"/>
  <c r="Q14" i="97"/>
  <c r="Q13" i="97"/>
  <c r="Q12" i="97"/>
  <c r="Q11" i="97"/>
  <c r="Q10" i="97"/>
  <c r="Q9" i="97"/>
  <c r="Q7" i="97"/>
  <c r="Q8" i="97"/>
  <c r="O4" i="97"/>
  <c r="J4" i="97"/>
  <c r="H4" i="97"/>
  <c r="L4" i="97"/>
  <c r="E35" i="55"/>
  <c r="E37" i="55"/>
  <c r="E38" i="55"/>
  <c r="E26" i="55"/>
  <c r="E27" i="55"/>
  <c r="E28" i="55"/>
  <c r="E40" i="55"/>
  <c r="E41" i="55"/>
  <c r="E42" i="55"/>
  <c r="E44" i="55"/>
  <c r="B18" i="55"/>
  <c r="B16" i="55"/>
  <c r="G7" i="56"/>
  <c r="G8" i="56"/>
  <c r="G9" i="56"/>
  <c r="G10" i="56"/>
  <c r="G11" i="56"/>
  <c r="G12" i="56"/>
  <c r="G13" i="56"/>
  <c r="G14" i="56"/>
  <c r="G15" i="56"/>
  <c r="G16" i="56"/>
  <c r="G17" i="56"/>
  <c r="G18" i="56"/>
  <c r="G19" i="56"/>
  <c r="G20" i="56"/>
  <c r="G21" i="56"/>
  <c r="G22" i="56"/>
  <c r="G23" i="56"/>
  <c r="G24" i="56"/>
  <c r="G25" i="56"/>
  <c r="G26" i="56"/>
  <c r="G27" i="56"/>
  <c r="G28" i="56"/>
  <c r="G29" i="56"/>
  <c r="G30" i="56"/>
  <c r="G31" i="56"/>
  <c r="G32" i="56"/>
  <c r="G33" i="56"/>
  <c r="G34" i="56"/>
  <c r="G35" i="56"/>
  <c r="G36" i="56"/>
  <c r="G37" i="56"/>
  <c r="G38" i="56"/>
  <c r="G39" i="56"/>
  <c r="G40" i="56"/>
  <c r="G41" i="56"/>
  <c r="G42" i="56"/>
  <c r="G43" i="56"/>
  <c r="G44" i="56"/>
  <c r="G45" i="56"/>
  <c r="G46" i="56"/>
  <c r="G47" i="56"/>
  <c r="G48" i="56"/>
  <c r="G49" i="56"/>
  <c r="G50" i="56"/>
  <c r="G51" i="56"/>
  <c r="G52" i="56"/>
  <c r="G53" i="56"/>
  <c r="G54" i="56"/>
  <c r="G55" i="56"/>
  <c r="G56" i="56"/>
  <c r="G57" i="56"/>
  <c r="G58" i="56"/>
  <c r="G59" i="56"/>
  <c r="G60" i="56"/>
  <c r="G61" i="56"/>
  <c r="G62" i="56"/>
  <c r="G63" i="56"/>
  <c r="G64" i="56"/>
  <c r="G65" i="56"/>
  <c r="G66" i="56"/>
  <c r="G67" i="56"/>
  <c r="G68" i="56"/>
  <c r="G69" i="56"/>
  <c r="G70" i="56"/>
  <c r="G71" i="56"/>
  <c r="G72" i="56"/>
  <c r="G73" i="56"/>
  <c r="G74" i="56"/>
  <c r="G75" i="56"/>
  <c r="G76" i="56"/>
  <c r="G77" i="56"/>
  <c r="G78" i="56"/>
  <c r="G79" i="56"/>
  <c r="G80" i="56"/>
  <c r="G81" i="56"/>
  <c r="G82" i="56"/>
  <c r="G83" i="56"/>
  <c r="G84" i="56"/>
  <c r="G85" i="56"/>
  <c r="G86" i="56"/>
  <c r="G87" i="56"/>
  <c r="G88" i="56"/>
  <c r="G89" i="56"/>
  <c r="G90" i="56"/>
  <c r="G91" i="56"/>
  <c r="G92" i="56"/>
  <c r="G93" i="56"/>
  <c r="G94" i="56"/>
  <c r="G95" i="56"/>
  <c r="G96" i="56"/>
  <c r="G97" i="56"/>
  <c r="G98" i="56"/>
  <c r="G99" i="56"/>
  <c r="G100" i="56"/>
  <c r="E46" i="55"/>
  <c r="B38" i="55"/>
  <c r="B39" i="55"/>
  <c r="E39" i="55" a="1"/>
  <c r="E45" i="55"/>
  <c r="E34" i="55"/>
  <c r="E36" i="55"/>
  <c r="E24" i="55" a="1"/>
  <c r="E25" i="55" a="1"/>
  <c r="B4" i="57"/>
  <c r="B6" i="55"/>
  <c r="B5" i="57"/>
  <c r="I18" i="57" a="1"/>
  <c r="I19" i="57" a="1"/>
  <c r="I20" i="57" a="1"/>
  <c r="I21" i="57" a="1"/>
  <c r="I22" i="57" a="1"/>
  <c r="I23" i="57" a="1"/>
  <c r="I24" i="57" a="1"/>
  <c r="I25" i="57" a="1"/>
  <c r="I26" i="57" a="1"/>
  <c r="I27" i="57" a="1"/>
  <c r="I28" i="57" a="1"/>
  <c r="I29" i="57" a="1"/>
  <c r="I30" i="57" a="1"/>
  <c r="I31" i="57" a="1"/>
  <c r="I32" i="57" a="1"/>
  <c r="I33" i="57" a="1"/>
  <c r="I34" i="57" a="1"/>
  <c r="I35" i="57" a="1"/>
  <c r="I36" i="57" a="1"/>
  <c r="I37" i="57" a="1"/>
  <c r="I38" i="57" a="1"/>
  <c r="I39" i="57" a="1"/>
  <c r="I40" i="57" a="1"/>
  <c r="I41" i="57" a="1"/>
  <c r="I42" i="57" a="1"/>
  <c r="I43" i="57" a="1"/>
  <c r="I44" i="57" a="1"/>
  <c r="I45" i="57" a="1"/>
  <c r="I46" i="57" a="1"/>
  <c r="I47" i="57" a="1"/>
  <c r="I48" i="57" a="1"/>
  <c r="I49" i="57" a="1"/>
  <c r="I50" i="57" a="1"/>
  <c r="I51" i="57" a="1"/>
  <c r="I52" i="57" a="1"/>
  <c r="I53" i="57" a="1"/>
  <c r="I54" i="57" a="1"/>
  <c r="I55" i="57" a="1"/>
  <c r="I56" i="57" a="1"/>
  <c r="I57" i="57" a="1"/>
  <c r="G18" i="57" a="1"/>
  <c r="G19" i="57" a="1"/>
  <c r="G20" i="57" a="1"/>
  <c r="G21" i="57" a="1"/>
  <c r="G22" i="57" a="1"/>
  <c r="G23" i="57" a="1"/>
  <c r="G24" i="57" a="1"/>
  <c r="G25" i="57" a="1"/>
  <c r="G26" i="57" a="1"/>
  <c r="G27" i="57" a="1"/>
  <c r="G28" i="57" a="1"/>
  <c r="G29" i="57" a="1"/>
  <c r="G30" i="57" a="1"/>
  <c r="G31" i="57" a="1"/>
  <c r="G32" i="57" a="1"/>
  <c r="G33" i="57" a="1"/>
  <c r="G34" i="57" a="1"/>
  <c r="G35" i="57" a="1"/>
  <c r="G36" i="57" a="1"/>
  <c r="G37" i="57" a="1"/>
  <c r="G38" i="57" a="1"/>
  <c r="G39" i="57" a="1"/>
  <c r="G40" i="57" a="1"/>
  <c r="G41" i="57" a="1"/>
  <c r="G42" i="57" a="1"/>
  <c r="G43" i="57" a="1"/>
  <c r="G44" i="57" a="1"/>
  <c r="G45" i="57" a="1"/>
  <c r="G46" i="57" a="1"/>
  <c r="G47" i="57" a="1"/>
  <c r="G48" i="57" a="1"/>
  <c r="G49" i="57" a="1"/>
  <c r="G50" i="57" a="1"/>
  <c r="G51" i="57" a="1"/>
  <c r="G52" i="57" a="1"/>
  <c r="G53" i="57" a="1"/>
  <c r="G54" i="57" a="1"/>
  <c r="G55" i="57" a="1"/>
  <c r="G56" i="57" a="1"/>
  <c r="G57" i="57" a="1"/>
  <c r="F18" i="57" a="1"/>
  <c r="F19" i="57" a="1"/>
  <c r="F20" i="57" a="1"/>
  <c r="F21" i="57" a="1"/>
  <c r="F22" i="57" a="1"/>
  <c r="F23" i="57" a="1"/>
  <c r="F24" i="57" a="1"/>
  <c r="F25" i="57" a="1"/>
  <c r="F26" i="57" a="1"/>
  <c r="F27" i="57" a="1"/>
  <c r="F28" i="57" a="1"/>
  <c r="F29" i="57" a="1"/>
  <c r="F30" i="57" a="1"/>
  <c r="F31" i="57" a="1"/>
  <c r="F32" i="57" a="1"/>
  <c r="F33" i="57" a="1"/>
  <c r="F34" i="57" a="1"/>
  <c r="F35" i="57" a="1"/>
  <c r="F40" i="57" a="1"/>
  <c r="F41" i="57" a="1"/>
  <c r="F42" i="57" a="1"/>
  <c r="F44" i="57" a="1"/>
  <c r="F47" i="57" a="1"/>
  <c r="F51" i="57" a="1"/>
  <c r="F56" i="57" a="1"/>
  <c r="E20" i="57" a="1"/>
  <c r="E22" i="57" a="1"/>
  <c r="E27" i="57" a="1"/>
  <c r="E30" i="57" a="1"/>
  <c r="E33" i="57" a="1"/>
  <c r="E37" i="57" a="1"/>
  <c r="E41" i="57" a="1"/>
  <c r="E44" i="57" a="1"/>
  <c r="E47" i="57" a="1"/>
  <c r="E50" i="57" a="1"/>
  <c r="E53" i="57" a="1"/>
  <c r="E56" i="57" a="1"/>
  <c r="D24" i="57" a="1"/>
  <c r="D26" i="57" a="1"/>
  <c r="D30" i="57" a="1"/>
  <c r="D34" i="57" a="1"/>
  <c r="D36" i="57" a="1"/>
  <c r="D39" i="57" a="1"/>
  <c r="D42" i="57" a="1"/>
  <c r="D44" i="57" a="1"/>
  <c r="D46" i="57" a="1"/>
  <c r="D49" i="57" a="1"/>
  <c r="D51" i="57" a="1"/>
  <c r="D56" i="57" a="1"/>
  <c r="E24" i="57" a="1"/>
  <c r="F57" i="57" a="1"/>
  <c r="F53" i="57" a="1"/>
  <c r="F49" i="57" a="1"/>
  <c r="F46" i="57" a="1"/>
  <c r="F43" i="57" a="1"/>
  <c r="F39" i="57" a="1"/>
  <c r="D38" i="57" a="1"/>
  <c r="D35" i="57" a="1"/>
  <c r="D29" i="57" a="1"/>
  <c r="D27" i="57" a="1"/>
  <c r="D21" i="57" a="1"/>
  <c r="E55" i="57" a="1"/>
  <c r="E51" i="57" a="1"/>
  <c r="E36" i="57" a="1"/>
  <c r="E19" i="57" a="1"/>
  <c r="F54" i="57" a="1"/>
  <c r="F36" i="57" a="1"/>
  <c r="F38" i="57" a="1"/>
  <c r="F48" i="57" a="1"/>
  <c r="D41" i="57" a="1"/>
  <c r="D31" i="57" a="1"/>
  <c r="D25" i="57" a="1"/>
  <c r="D23" i="57" a="1"/>
  <c r="E57" i="57" a="1"/>
  <c r="E54" i="57" a="1"/>
  <c r="E49" i="57" a="1"/>
  <c r="E46" i="57" a="1"/>
  <c r="E42" i="57" a="1"/>
  <c r="E35" i="57" a="1"/>
  <c r="E31" i="57" a="1"/>
  <c r="E26" i="57" a="1"/>
  <c r="E23" i="57" a="1"/>
  <c r="E18" i="57" a="1"/>
  <c r="F55" i="57" a="1"/>
  <c r="F52" i="57" a="1"/>
  <c r="F50" i="57" a="1"/>
  <c r="F45" i="57" a="1"/>
  <c r="F37" i="57" a="1"/>
  <c r="E21" i="57" a="1"/>
  <c r="E25" i="57" a="1"/>
  <c r="E29" i="57" a="1"/>
  <c r="E32" i="57" a="1"/>
  <c r="E39" i="57" a="1"/>
  <c r="E43" i="57" a="1"/>
  <c r="E52" i="57" a="1"/>
  <c r="D19" i="57" a="1"/>
  <c r="D22" i="57" a="1"/>
  <c r="D33" i="57" a="1"/>
  <c r="D37" i="57" a="1"/>
  <c r="D40" i="57" a="1"/>
  <c r="D43" i="57" a="1"/>
  <c r="D47" i="57" a="1"/>
  <c r="D50" i="57" a="1"/>
  <c r="D53" i="57" a="1"/>
  <c r="D54" i="57" a="1"/>
  <c r="E28" i="57" a="1"/>
  <c r="E34" i="57" a="1"/>
  <c r="E38" i="57" a="1"/>
  <c r="E40" i="57" a="1"/>
  <c r="E45" i="57" a="1"/>
  <c r="E48" i="57" a="1"/>
  <c r="D18" i="57" a="1"/>
  <c r="D20" i="57" a="1"/>
  <c r="E12" i="57"/>
  <c r="D28" i="57" a="1"/>
  <c r="D32" i="57" a="1"/>
  <c r="D45" i="57" a="1"/>
  <c r="D48" i="57" a="1"/>
  <c r="D52" i="57" a="1"/>
  <c r="D55" i="57" a="1"/>
  <c r="D57" i="57" a="1"/>
  <c r="E6" i="57"/>
  <c r="F8" i="55"/>
  <c r="F6" i="55"/>
  <c r="F9" i="55"/>
  <c r="F7" i="55"/>
  <c r="B15" i="55"/>
  <c r="E29" i="55"/>
  <c r="G14" i="55"/>
  <c r="B9" i="57"/>
  <c r="G7" i="57"/>
  <c r="B12" i="55"/>
  <c r="E43" i="55"/>
  <c r="B17" i="55"/>
  <c r="E6" i="55"/>
  <c r="E7" i="55"/>
  <c r="G6" i="55"/>
  <c r="H6" i="55"/>
  <c r="E8" i="55"/>
  <c r="G7" i="55"/>
  <c r="H7" i="55"/>
  <c r="E9" i="55"/>
  <c r="G8" i="55"/>
  <c r="B8" i="57"/>
  <c r="E7" i="57"/>
  <c r="E14" i="55"/>
  <c r="G9" i="55"/>
  <c r="H8" i="55"/>
  <c r="H9" i="55"/>
  <c r="H14" i="55"/>
  <c r="B10" i="57"/>
  <c r="H7" i="57"/>
  <c r="F14" i="55"/>
  <c r="B11" i="57"/>
  <c r="F7" i="57"/>
  <c r="F6" i="57"/>
  <c r="G12" i="57"/>
  <c r="G6" i="57"/>
  <c r="H6" i="57"/>
  <c r="H12" i="57"/>
  <c r="H15" i="57"/>
  <c r="G15" i="57"/>
  <c r="F15" i="57"/>
  <c r="E15" i="57"/>
  <c r="H14" i="57"/>
  <c r="G14" i="57"/>
  <c r="F14" i="57"/>
  <c r="E14" i="57"/>
  <c r="H13" i="57"/>
  <c r="G13" i="57"/>
  <c r="F13" i="57"/>
  <c r="E13" i="57"/>
  <c r="H13" i="55"/>
  <c r="H8" i="57"/>
  <c r="H9" i="57"/>
  <c r="G9" i="57"/>
  <c r="G8" i="57"/>
  <c r="G13" i="55"/>
  <c r="F9" i="57"/>
  <c r="F8" i="57"/>
  <c r="F13" i="55"/>
  <c r="F15" i="55"/>
  <c r="F16" i="55"/>
  <c r="G15" i="55"/>
  <c r="G16" i="55"/>
  <c r="H16" i="55"/>
  <c r="H15" i="55"/>
  <c r="F12" i="57"/>
  <c r="E8" i="57"/>
  <c r="E13" i="55"/>
  <c r="E9" i="57"/>
  <c r="E15" i="55"/>
  <c r="E16" i="5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<sst xmlns="http://schemas.openxmlformats.org/spreadsheetml/2006/main" count="306" uniqueCount="213">
  <si>
    <t>Weight</t>
  </si>
  <si>
    <t>Duration</t>
  </si>
  <si>
    <t>Age</t>
  </si>
  <si>
    <t>BMR</t>
  </si>
  <si>
    <t>Target</t>
  </si>
  <si>
    <t>Avocado</t>
  </si>
  <si>
    <t>Strawberry</t>
  </si>
  <si>
    <t>Meal</t>
  </si>
  <si>
    <t>Chicken Breast</t>
  </si>
  <si>
    <t>White Rice</t>
  </si>
  <si>
    <t>Japanese Rice</t>
  </si>
  <si>
    <t>Date</t>
  </si>
  <si>
    <t>Calories</t>
  </si>
  <si>
    <t>💪 Muscle Building &amp; Diet Tracker</t>
  </si>
  <si>
    <t>Professional macro target setup for cut, maintenance, and bulk. Edit yellow cells only.</t>
  </si>
  <si>
    <t>📅 Tracking &amp; Goal Setup</t>
  </si>
  <si>
    <t>Start Date</t>
  </si>
  <si>
    <t>🎯 Goal</t>
  </si>
  <si>
    <t>Daily Calories</t>
  </si>
  <si>
    <t>Protein (g)</t>
  </si>
  <si>
    <t>Fat (g)</t>
  </si>
  <si>
    <t>Carbs (g)</t>
  </si>
  <si>
    <t>End Date</t>
  </si>
  <si>
    <t>Cut</t>
  </si>
  <si>
    <t>Duration (days)</t>
  </si>
  <si>
    <t>Maintenance</t>
  </si>
  <si>
    <t>Goal</t>
  </si>
  <si>
    <t>Bulk</t>
  </si>
  <si>
    <t>Weight (kg)</t>
  </si>
  <si>
    <t>Selected Goal</t>
  </si>
  <si>
    <t>Height (cm)</t>
  </si>
  <si>
    <t>Activity Multiplier</t>
  </si>
  <si>
    <t>📊 Daily Summary</t>
  </si>
  <si>
    <t>Burn % / Cut deficit</t>
  </si>
  <si>
    <t>Consumed</t>
  </si>
  <si>
    <t>Bulk % / Surplus</t>
  </si>
  <si>
    <t>Remaining</t>
  </si>
  <si>
    <t>TDEE / Maintenance</t>
  </si>
  <si>
    <t>% of Target</t>
  </si>
  <si>
    <t>Cut Calories</t>
  </si>
  <si>
    <t>Bulk Calories</t>
  </si>
  <si>
    <t>Activity multiplier note</t>
  </si>
  <si>
    <t>Exercise inputs calculate TDEE, then Adjust TDEE Value in B28 is subtracted from maintenance. Cut and Bulk are based on the adjusted maintenance value.</t>
  </si>
  <si>
    <t>🏃 Exercise-Based Activity Multiplier</t>
  </si>
  <si>
    <t>B12 now calculates from exercise count, intensity, duration, and weekly frequency. Edit yellow cells only.</t>
  </si>
  <si>
    <t xml:space="preserve"> </t>
  </si>
  <si>
    <t>Type of exercise</t>
  </si>
  <si>
    <t>Resistance</t>
  </si>
  <si>
    <t>Standard MET by exercise</t>
  </si>
  <si>
    <t>Intensity</t>
  </si>
  <si>
    <t>High</t>
  </si>
  <si>
    <t>Intensity-adjusted MET</t>
  </si>
  <si>
    <t>Duration per session (min)</t>
  </si>
  <si>
    <t>Net exercise kcal / session</t>
  </si>
  <si>
    <t>Sessions per week</t>
  </si>
  <si>
    <t>Weekly net exercise kcal</t>
  </si>
  <si>
    <t>Adjust TDEE Value (kcal)</t>
  </si>
  <si>
    <t>Daily net exercise kcal</t>
  </si>
  <si>
    <t>Exercise-only multiplier</t>
  </si>
  <si>
    <t>⚖️ Realistic BMR, PAL &amp; Macro Model</t>
  </si>
  <si>
    <t>Uses Mifflin-St Jeor for baseline BMR, optional Katch-McArdle when body fat is entered, and a standard lifestyle PAL plus logged exercise.</t>
  </si>
  <si>
    <t>Sex</t>
  </si>
  <si>
    <t>Male</t>
  </si>
  <si>
    <t>BMI</t>
  </si>
  <si>
    <t>Body fat %</t>
  </si>
  <si>
    <t>Lean body mass kg</t>
  </si>
  <si>
    <t>BMR method</t>
  </si>
  <si>
    <t>Auto</t>
  </si>
  <si>
    <t>Mifflin-St Jeor BMR</t>
  </si>
  <si>
    <t>Non-exercise activity</t>
  </si>
  <si>
    <t>Light daily movement</t>
  </si>
  <si>
    <t>Katch-McArdle BMR</t>
  </si>
  <si>
    <t>Cut deficit from Burn %</t>
  </si>
  <si>
    <t>Selected BMR</t>
  </si>
  <si>
    <t>Bulk surplus from Bulk %</t>
  </si>
  <si>
    <t>Non-exercise factor</t>
  </si>
  <si>
    <t>Logged exercise mode</t>
  </si>
  <si>
    <t>Include logged exercise</t>
  </si>
  <si>
    <t>Net exercise add-on</t>
  </si>
  <si>
    <t>Protein g per kg lean mass</t>
  </si>
  <si>
    <t>Final activity multiplier</t>
  </si>
  <si>
    <t>Fat % of calories</t>
  </si>
  <si>
    <t>Maintenance calories</t>
  </si>
  <si>
    <t>Minimum fat g / kg weight</t>
  </si>
  <si>
    <t>Cut calories</t>
  </si>
  <si>
    <t>Bulk calories</t>
  </si>
  <si>
    <t>Fat grams floor</t>
  </si>
  <si>
    <t>TDEE method note</t>
  </si>
  <si>
    <t>💪 Daily Food Intake</t>
  </si>
  <si>
    <t>Build your day with up to 10 foods per meal. Yellow cells are for goal, food, grams, and notes.</t>
  </si>
  <si>
    <t>📅 Start Date</t>
  </si>
  <si>
    <t>📊 Today Summary</t>
  </si>
  <si>
    <t>Calorie Target</t>
  </si>
  <si>
    <t>Protein Target</t>
  </si>
  <si>
    <t>Fat Target</t>
  </si>
  <si>
    <t>Carb Target</t>
  </si>
  <si>
    <t>🍽 Meal Summary</t>
  </si>
  <si>
    <t>Meal 1</t>
  </si>
  <si>
    <t>Meal 2</t>
  </si>
  <si>
    <t>Meal 3</t>
  </si>
  <si>
    <t>Meal 4</t>
  </si>
  <si>
    <t>Food Name</t>
  </si>
  <si>
    <t>Grams</t>
  </si>
  <si>
    <t>Notes</t>
  </si>
  <si>
    <t>Source</t>
  </si>
  <si>
    <t>NTUC Instant Oatmeal</t>
  </si>
  <si>
    <t>Chobani Greek</t>
  </si>
  <si>
    <t>Optimum Protein Powder</t>
  </si>
  <si>
    <t>Creatine Blueberry</t>
  </si>
  <si>
    <t xml:space="preserve">Optimum Amino/Electrolyde </t>
  </si>
  <si>
    <t>Coffee</t>
  </si>
  <si>
    <t>Sweet Potatoe</t>
  </si>
  <si>
    <t>Egg White</t>
  </si>
  <si>
    <t>Egg Yolk</t>
  </si>
  <si>
    <t>Heinz No Sugar Ketchup</t>
  </si>
  <si>
    <t>White Plus</t>
  </si>
  <si>
    <t>Ma Po To Fu</t>
  </si>
  <si>
    <t>🥗 Food Library</t>
  </si>
  <si>
    <t>Standalone food database for calories and macros per 100g. Add new foods at the bottom of the table.</t>
  </si>
  <si>
    <t>Custom</t>
  </si>
  <si>
    <t>Calories / 100g</t>
  </si>
  <si>
    <t>Carbs / 100g</t>
  </si>
  <si>
    <t>Protein / 100g</t>
  </si>
  <si>
    <t>Fat / 100g</t>
  </si>
  <si>
    <t>Lookup Key</t>
  </si>
  <si>
    <t>Rice Cracker</t>
  </si>
  <si>
    <t>Havest Oat</t>
  </si>
  <si>
    <t>NTUC Oat</t>
  </si>
  <si>
    <t>Mixed Berries</t>
  </si>
  <si>
    <t>Blueberry</t>
  </si>
  <si>
    <t>Harraways Oat</t>
  </si>
  <si>
    <t>Banana</t>
  </si>
  <si>
    <t>Durian</t>
  </si>
  <si>
    <t>Spagetti</t>
  </si>
  <si>
    <t>Spaghetti Sauce</t>
  </si>
  <si>
    <t>Pork Loin Minced</t>
  </si>
  <si>
    <t>Peanut Powder</t>
  </si>
  <si>
    <t>Bread Bun</t>
  </si>
  <si>
    <t>Honey</t>
  </si>
  <si>
    <t>Sunshine Bun</t>
  </si>
  <si>
    <t>Gardenia Low GI</t>
  </si>
  <si>
    <t>Sunshine Low</t>
  </si>
  <si>
    <t>US-Quacker</t>
  </si>
  <si>
    <t>US-Bimbo Swi</t>
  </si>
  <si>
    <t>US-GV Greek</t>
  </si>
  <si>
    <t>US-GV Greek-F</t>
  </si>
  <si>
    <t>US-Turkey 99%</t>
  </si>
  <si>
    <t>US-Chicken 93%</t>
  </si>
  <si>
    <t>US-Bimbo Swe</t>
  </si>
  <si>
    <t>US-Banana</t>
  </si>
  <si>
    <t>US-Keto Bread</t>
  </si>
  <si>
    <t>CA GV Oats</t>
  </si>
  <si>
    <t>CA Olympic Greek</t>
  </si>
  <si>
    <t>CA GV Bread</t>
  </si>
  <si>
    <t>CA Lean Chicken</t>
  </si>
  <si>
    <t>CA</t>
  </si>
  <si>
    <t>US-Keto Better</t>
  </si>
  <si>
    <t>SG-EMI Yogurt</t>
  </si>
  <si>
    <t xml:space="preserve">Scallops </t>
  </si>
  <si>
    <t>Rice Cake - Car</t>
  </si>
  <si>
    <t>Prawn</t>
  </si>
  <si>
    <t>Quest Cookies</t>
  </si>
  <si>
    <t>Golden Curry</t>
  </si>
  <si>
    <t>Russet Potatoes</t>
  </si>
  <si>
    <t>Log Cabin Honey</t>
  </si>
  <si>
    <t>McSpicy</t>
  </si>
  <si>
    <t>McNuggets</t>
  </si>
  <si>
    <t>Corn Jr</t>
  </si>
  <si>
    <t>McWing 2 pc</t>
  </si>
  <si>
    <t>Mee Rebus</t>
  </si>
  <si>
    <t>Golden Chef Abalone</t>
  </si>
  <si>
    <t>Rice Cake Choco</t>
  </si>
  <si>
    <t>Miso</t>
  </si>
  <si>
    <t>KFC sambal</t>
  </si>
  <si>
    <t>KFC Corn</t>
  </si>
  <si>
    <t xml:space="preserve">KFC Whipped potato </t>
  </si>
  <si>
    <t>Jumbo Salted egg</t>
  </si>
  <si>
    <t>Jumbo Pork Rib Moca</t>
  </si>
  <si>
    <t>Jumbo Black Pepper</t>
  </si>
  <si>
    <t>Jumbo White rice</t>
  </si>
  <si>
    <t>Pork Chop Fried Rice</t>
  </si>
  <si>
    <t xml:space="preserve">Ramen Sapporo Green </t>
  </si>
  <si>
    <t xml:space="preserve">Ramen Sapporo Orange </t>
  </si>
  <si>
    <t>Ramen Tokyo</t>
  </si>
  <si>
    <t>Ramen Jiu Zhong</t>
  </si>
  <si>
    <t>Minced Chicken Breast</t>
  </si>
  <si>
    <t>Ramen Jas</t>
  </si>
  <si>
    <t>Ramen Pua</t>
  </si>
  <si>
    <t>Din Tai Fung</t>
  </si>
  <si>
    <t>Song Fa</t>
  </si>
  <si>
    <t>Home Food</t>
  </si>
  <si>
    <t>📈 Bulk Progress Report</t>
  </si>
  <si>
    <t>Tracks bulk progress from Macro Goals dates and surplus. The matching Daily Intake date pulls calories/macros automatically.</t>
  </si>
  <si>
    <t>Maintenance kcal</t>
  </si>
  <si>
    <t>Bulk Target kcal</t>
  </si>
  <si>
    <t>Planned Surplus</t>
  </si>
  <si>
    <t>Daily Intake Date</t>
  </si>
  <si>
    <t>Day</t>
  </si>
  <si>
    <t>Meal 1 kcal</t>
  </si>
  <si>
    <t>Meal 2 kcal</t>
  </si>
  <si>
    <t>Meal 3 kcal</t>
  </si>
  <si>
    <t>Meal 4 kcal</t>
  </si>
  <si>
    <t>Target Calories</t>
  </si>
  <si>
    <t>Actual Surplus</t>
  </si>
  <si>
    <t>Cumulative Surplus</t>
  </si>
  <si>
    <t>Est. Gain (kg)</t>
  </si>
  <si>
    <t>Progress %</t>
  </si>
  <si>
    <t>Growth</t>
  </si>
  <si>
    <t>Miso Remen</t>
  </si>
  <si>
    <t>King of fried rice</t>
  </si>
  <si>
    <t>Ramen Bue</t>
  </si>
  <si>
    <t>Shiok Hokkien Mee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</si>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</sst>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7" formatCode="0.0%"/>
    <numFmt numFmtId="168" formatCode="#,##0.0"/>
    <numFmt numFmtId="169" formatCode="dd\-mmm\-yyyy"/>
    <numFmt numFmtId="170" formatCode="d\-mmm\-yyyy"/>
  </numFmts>
  <fonts count="2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rgb="FFFFFFFF"/>
      <name val="Aptos"/>
      <family val="2"/>
    </font>
    <font>
      <b/>
      <sz val="11"/>
      <color rgb="FF001F43"/>
      <name val="Aptos"/>
      <family val="2"/>
    </font>
    <font>
      <sz val="11"/>
      <color rgb="FF262626"/>
      <name val="Aptos"/>
      <family val="2"/>
    </font>
    <font>
      <sz val="11"/>
      <color theme="1"/>
      <name val="Aptos"/>
      <family val="2"/>
    </font>
    <font>
      <b/>
      <sz val="11"/>
      <color rgb="FF262626"/>
      <name val="Aptos"/>
      <family val="2"/>
    </font>
    <font>
      <sz val="11"/>
      <color rgb="FF1F2937"/>
      <name val="Aptos"/>
      <family val="2"/>
    </font>
    <font>
      <i/>
      <sz val="11"/>
      <color rgb="FF566573"/>
      <name val="Aptos"/>
      <family val="2"/>
    </font>
    <font>
      <b/>
      <sz val="11"/>
      <color rgb="FFFFFFFF"/>
      <name val="Aptos"/>
      <family val="2"/>
    </font>
    <font>
      <i/>
      <sz val="11"/>
      <color rgb="FF666666"/>
      <name val="Aptos"/>
      <family val="2"/>
    </font>
    <font>
      <b/>
      <sz val="14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62626"/>
      <name val="Aptos"/>
      <family val="2"/>
    </font>
    <font>
      <b/>
      <sz val="11"/>
      <color rgb="FFFFFFFF"/>
      <name val="Aptos"/>
      <family val="2"/>
    </font>
    <font>
      <b/>
      <sz val="18"/>
      <color rgb="FFFFFFFF"/>
      <name val="Aptos"/>
    </font>
    <font>
      <sz val="11"/>
      <color theme="1"/>
      <name val="Aptos"/>
    </font>
    <font>
      <i/>
      <sz val="11"/>
      <color rgb="FF566573"/>
      <name val="Aptos"/>
    </font>
    <font>
      <b/>
      <sz val="11"/>
      <color rgb="FF001F43"/>
      <name val="Aptos"/>
    </font>
    <font>
      <b/>
      <sz val="11"/>
      <color rgb="FFFFFFFF"/>
      <name val="Aptos"/>
    </font>
    <font>
      <sz val="11"/>
      <color rgb="FF262626"/>
      <name val="Aptos"/>
    </font>
  </fonts>
  <fills count="1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1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</fills>
  <borders count="24">
    <border>
      <left/>
      <right/>
      <top/>
      <bottom/>
      <diagonal/>
    </border>
    <border>
      <left style="thin">
        <color rgb="FFB7C9E2"/>
      </left>
      <right/>
      <top style="thin">
        <color rgb="FFB7C9E2"/>
      </top>
      <bottom/>
      <diagonal/>
    </border>
    <border>
      <left style="thin">
        <color rgb="FFB7C9E2"/>
      </left>
      <right/>
      <top/>
      <bottom style="thin">
        <color rgb="FFB7C9E2"/>
      </bottom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  <border>
      <left/>
      <right style="thin">
        <color rgb="FFB7C9E2"/>
      </right>
      <top style="thin">
        <color rgb="FFB7C9E2"/>
      </top>
      <bottom/>
      <diagonal/>
    </border>
    <border>
      <left/>
      <right style="thin">
        <color rgb="FFB7C9E2"/>
      </right>
      <top/>
      <bottom style="thin">
        <color rgb="FFB7C9E2"/>
      </bottom>
      <diagonal/>
    </border>
    <border>
      <left style="thin">
        <color rgb="FFB7C9E2"/>
      </left>
      <right/>
      <top style="thin">
        <color rgb="FFB7C9E2"/>
      </top>
      <bottom style="thin">
        <color rgb="FFB7C9E2"/>
      </bottom>
      <diagonal/>
    </border>
    <border>
      <left/>
      <right style="thin">
        <color rgb="FFB7C9E2"/>
      </right>
      <top style="thin">
        <color rgb="FFB7C9E2"/>
      </top>
      <bottom style="thin">
        <color rgb="FFB7C9E2"/>
      </bottom>
      <diagonal/>
    </border>
    <border>
      <left style="thin">
        <color rgb="FFB7C9E2"/>
      </left>
      <right style="thin">
        <color rgb="FFB7C9E2"/>
      </right>
      <top/>
      <bottom style="thin">
        <color rgb="FFB7C9E2"/>
      </bottom>
      <diagonal/>
    </border>
    <border>
      <left style="thin">
        <color rgb="FFB7C9E2"/>
      </left>
      <right style="thin">
        <color rgb="FFB7C9E2"/>
      </right>
      <top style="thin">
        <color rgb="FFB7C9E2"/>
      </top>
      <bottom/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thin">
        <color rgb="FFB7C9E2"/>
      </left>
      <right/>
      <top/>
      <bottom/>
      <diagonal/>
    </border>
    <border>
      <left/>
      <right style="thin">
        <color rgb="FFB7C9E2"/>
      </right>
      <top/>
      <bottom/>
      <diagonal/>
    </border>
    <border>
      <left style="thin">
        <color rgb="FFB7C9E2"/>
      </left>
      <right style="thin">
        <color rgb="FFB7C9E2"/>
      </right>
      <top/>
      <bottom/>
      <diagonal/>
    </border>
    <border>
      <left style="medium">
        <color indexed="64"/>
      </left>
      <right style="thin">
        <color rgb="FFB7C9E2"/>
      </right>
      <top style="medium">
        <color indexed="64"/>
      </top>
      <bottom style="thin">
        <color rgb="FFB7C9E2"/>
      </bottom>
      <diagonal/>
    </border>
    <border>
      <left style="thin">
        <color rgb="FFB7C9E2"/>
      </left>
      <right style="thin">
        <color rgb="FFB7C9E2"/>
      </right>
      <top style="medium">
        <color indexed="64"/>
      </top>
      <bottom style="thin">
        <color rgb="FFB7C9E2"/>
      </bottom>
      <diagonal/>
    </border>
    <border>
      <left style="thin">
        <color rgb="FFB7C9E2"/>
      </left>
      <right style="medium">
        <color indexed="64"/>
      </right>
      <top style="medium">
        <color indexed="64"/>
      </top>
      <bottom style="thin">
        <color rgb="FFB7C9E2"/>
      </bottom>
      <diagonal/>
    </border>
    <border>
      <left style="medium">
        <color indexed="64"/>
      </left>
      <right style="thin">
        <color rgb="FFB7C9E2"/>
      </right>
      <top style="thin">
        <color rgb="FFB7C9E2"/>
      </top>
      <bottom style="thin">
        <color rgb="FFB7C9E2"/>
      </bottom>
      <diagonal/>
    </border>
    <border>
      <left style="thin">
        <color rgb="FFB7C9E2"/>
      </left>
      <right style="medium">
        <color indexed="64"/>
      </right>
      <top style="thin">
        <color rgb="FFB7C9E2"/>
      </top>
      <bottom style="thin">
        <color rgb="FFB7C9E2"/>
      </bottom>
      <diagonal/>
    </border>
    <border>
      <left style="medium">
        <color indexed="64"/>
      </left>
      <right style="thin">
        <color rgb="FFB7C9E2"/>
      </right>
      <top style="thin">
        <color rgb="FFB7C9E2"/>
      </top>
      <bottom style="medium">
        <color indexed="64"/>
      </bottom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medium">
        <color indexed="64"/>
      </bottom>
      <diagonal/>
    </border>
    <border>
      <left style="thin">
        <color rgb="FFB7C9E2"/>
      </left>
      <right style="medium">
        <color indexed="64"/>
      </right>
      <top style="thin">
        <color rgb="FFB7C9E2"/>
      </top>
      <bottom style="medium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5" fillId="5" borderId="0" xfId="0" applyFont="1" applyFill="1"/>
    <xf numFmtId="0" fontId="7" fillId="5" borderId="0" xfId="0" applyFont="1" applyFill="1" applyAlignment="1">
      <alignment vertical="center"/>
    </xf>
    <xf numFmtId="3" fontId="7" fillId="5" borderId="0" xfId="0" applyNumberFormat="1" applyFont="1" applyFill="1" applyAlignment="1">
      <alignment vertical="center"/>
    </xf>
    <xf numFmtId="0" fontId="7" fillId="5" borderId="0" xfId="0" applyFont="1" applyFill="1"/>
    <xf numFmtId="3" fontId="7" fillId="5" borderId="0" xfId="0" applyNumberFormat="1" applyFont="1" applyFill="1"/>
    <xf numFmtId="0" fontId="9" fillId="3" borderId="3" xfId="0" applyFont="1" applyFill="1" applyBorder="1" applyAlignment="1">
      <alignment vertical="center"/>
    </xf>
    <xf numFmtId="0" fontId="9" fillId="3" borderId="3" xfId="0" applyFont="1" applyFill="1" applyBorder="1"/>
    <xf numFmtId="3" fontId="9" fillId="3" borderId="3" xfId="0" applyNumberFormat="1" applyFont="1" applyFill="1" applyBorder="1"/>
    <xf numFmtId="0" fontId="9" fillId="3" borderId="5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169" fontId="9" fillId="3" borderId="3" xfId="0" applyNumberFormat="1" applyFont="1" applyFill="1" applyBorder="1" applyAlignment="1">
      <alignment horizontal="left"/>
    </xf>
    <xf numFmtId="0" fontId="3" fillId="6" borderId="3" xfId="0" applyFont="1" applyFill="1" applyBorder="1"/>
    <xf numFmtId="169" fontId="3" fillId="4" borderId="3" xfId="0" applyNumberFormat="1" applyFont="1" applyFill="1" applyBorder="1" applyAlignment="1">
      <alignment horizontal="left"/>
    </xf>
    <xf numFmtId="0" fontId="4" fillId="5" borderId="3" xfId="0" applyFont="1" applyFill="1" applyBorder="1"/>
    <xf numFmtId="169" fontId="4" fillId="4" borderId="3" xfId="0" applyNumberFormat="1" applyFont="1" applyFill="1" applyBorder="1" applyAlignment="1">
      <alignment horizontal="left"/>
    </xf>
    <xf numFmtId="0" fontId="4" fillId="7" borderId="3" xfId="0" applyFont="1" applyFill="1" applyBorder="1"/>
    <xf numFmtId="1" fontId="4" fillId="4" borderId="3" xfId="0" applyNumberFormat="1" applyFont="1" applyFill="1" applyBorder="1" applyAlignment="1">
      <alignment horizontal="left"/>
    </xf>
    <xf numFmtId="164" fontId="4" fillId="4" borderId="3" xfId="0" applyNumberFormat="1" applyFont="1" applyFill="1" applyBorder="1" applyAlignment="1">
      <alignment horizontal="left"/>
    </xf>
    <xf numFmtId="167" fontId="4" fillId="4" borderId="3" xfId="0" applyNumberFormat="1" applyFont="1" applyFill="1" applyBorder="1" applyAlignment="1">
      <alignment horizontal="left"/>
    </xf>
    <xf numFmtId="3" fontId="4" fillId="7" borderId="3" xfId="0" applyNumberFormat="1" applyFont="1" applyFill="1" applyBorder="1" applyAlignment="1">
      <alignment horizontal="left"/>
    </xf>
    <xf numFmtId="3" fontId="4" fillId="5" borderId="3" xfId="0" applyNumberFormat="1" applyFont="1" applyFill="1" applyBorder="1" applyAlignment="1">
      <alignment horizontal="left"/>
    </xf>
    <xf numFmtId="0" fontId="4" fillId="5" borderId="3" xfId="0" applyFont="1" applyFill="1" applyBorder="1" applyAlignment="1">
      <alignment vertical="center"/>
    </xf>
    <xf numFmtId="3" fontId="4" fillId="5" borderId="3" xfId="0" applyNumberFormat="1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3" fontId="4" fillId="7" borderId="3" xfId="0" applyNumberFormat="1" applyFont="1" applyFill="1" applyBorder="1" applyAlignment="1">
      <alignment vertical="center"/>
    </xf>
    <xf numFmtId="168" fontId="4" fillId="5" borderId="3" xfId="0" applyNumberFormat="1" applyFont="1" applyFill="1" applyBorder="1"/>
    <xf numFmtId="168" fontId="4" fillId="7" borderId="3" xfId="0" applyNumberFormat="1" applyFont="1" applyFill="1" applyBorder="1"/>
    <xf numFmtId="0" fontId="6" fillId="7" borderId="3" xfId="0" applyFont="1" applyFill="1" applyBorder="1"/>
    <xf numFmtId="9" fontId="6" fillId="7" borderId="3" xfId="0" applyNumberFormat="1" applyFont="1" applyFill="1" applyBorder="1"/>
    <xf numFmtId="0" fontId="4" fillId="5" borderId="7" xfId="0" applyFont="1" applyFill="1" applyBorder="1" applyAlignment="1">
      <alignment vertical="center"/>
    </xf>
    <xf numFmtId="164" fontId="4" fillId="5" borderId="3" xfId="0" applyNumberFormat="1" applyFont="1" applyFill="1" applyBorder="1" applyAlignment="1">
      <alignment vertical="center"/>
    </xf>
    <xf numFmtId="164" fontId="4" fillId="5" borderId="6" xfId="0" applyNumberFormat="1" applyFont="1" applyFill="1" applyBorder="1" applyAlignment="1">
      <alignment vertical="center"/>
    </xf>
    <xf numFmtId="0" fontId="4" fillId="7" borderId="7" xfId="0" applyFont="1" applyFill="1" applyBorder="1" applyAlignment="1">
      <alignment vertical="center"/>
    </xf>
    <xf numFmtId="164" fontId="4" fillId="7" borderId="3" xfId="0" applyNumberFormat="1" applyFont="1" applyFill="1" applyBorder="1" applyAlignment="1">
      <alignment vertical="center"/>
    </xf>
    <xf numFmtId="164" fontId="4" fillId="7" borderId="6" xfId="0" applyNumberFormat="1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164" fontId="4" fillId="5" borderId="9" xfId="0" applyNumberFormat="1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169" fontId="4" fillId="5" borderId="3" xfId="0" applyNumberFormat="1" applyFont="1" applyFill="1" applyBorder="1" applyAlignment="1">
      <alignment horizontal="left"/>
    </xf>
    <xf numFmtId="1" fontId="4" fillId="7" borderId="3" xfId="0" applyNumberFormat="1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4" fillId="4" borderId="3" xfId="0" applyFont="1" applyFill="1" applyBorder="1"/>
    <xf numFmtId="164" fontId="4" fillId="4" borderId="3" xfId="0" applyNumberFormat="1" applyFont="1" applyFill="1" applyBorder="1"/>
    <xf numFmtId="0" fontId="4" fillId="9" borderId="3" xfId="0" applyFont="1" applyFill="1" applyBorder="1"/>
    <xf numFmtId="164" fontId="0" fillId="5" borderId="3" xfId="0" applyNumberFormat="1" applyFill="1" applyBorder="1"/>
    <xf numFmtId="164" fontId="0" fillId="7" borderId="3" xfId="0" applyNumberFormat="1" applyFill="1" applyBorder="1"/>
    <xf numFmtId="164" fontId="4" fillId="5" borderId="3" xfId="0" applyNumberFormat="1" applyFont="1" applyFill="1" applyBorder="1"/>
    <xf numFmtId="164" fontId="4" fillId="7" borderId="3" xfId="0" applyNumberFormat="1" applyFont="1" applyFill="1" applyBorder="1"/>
    <xf numFmtId="164" fontId="6" fillId="7" borderId="3" xfId="0" applyNumberFormat="1" applyFont="1" applyFill="1" applyBorder="1"/>
    <xf numFmtId="0" fontId="6" fillId="4" borderId="3" xfId="0" applyFont="1" applyFill="1" applyBorder="1" applyAlignment="1">
      <alignment horizontal="left"/>
    </xf>
    <xf numFmtId="0" fontId="10" fillId="4" borderId="0" xfId="0" applyFont="1" applyFill="1" applyAlignment="1">
      <alignment horizontal="left" vertical="center" wrapText="1"/>
    </xf>
    <xf numFmtId="0" fontId="13" fillId="11" borderId="0" xfId="0" applyFont="1" applyFill="1"/>
    <xf numFmtId="0" fontId="0" fillId="4" borderId="0" xfId="0" applyFill="1"/>
    <xf numFmtId="0" fontId="14" fillId="4" borderId="0" xfId="0" applyFont="1" applyFill="1"/>
    <xf numFmtId="0" fontId="13" fillId="12" borderId="10" xfId="0" applyFont="1" applyFill="1" applyBorder="1"/>
    <xf numFmtId="0" fontId="13" fillId="12" borderId="11" xfId="0" applyFont="1" applyFill="1" applyBorder="1"/>
    <xf numFmtId="0" fontId="13" fillId="12" borderId="12" xfId="0" applyFont="1" applyFill="1" applyBorder="1"/>
    <xf numFmtId="2" fontId="6" fillId="12" borderId="3" xfId="0" applyNumberFormat="1" applyFont="1" applyFill="1" applyBorder="1" applyAlignment="1">
      <alignment horizontal="left"/>
    </xf>
    <xf numFmtId="164" fontId="14" fillId="12" borderId="10" xfId="0" applyNumberFormat="1" applyFont="1" applyFill="1" applyBorder="1" applyAlignment="1">
      <alignment horizontal="right"/>
    </xf>
    <xf numFmtId="3" fontId="14" fillId="12" borderId="11" xfId="0" applyNumberFormat="1" applyFont="1" applyFill="1" applyBorder="1" applyAlignment="1">
      <alignment horizontal="right"/>
    </xf>
    <xf numFmtId="2" fontId="14" fillId="12" borderId="12" xfId="0" applyNumberFormat="1" applyFont="1" applyFill="1" applyBorder="1" applyAlignment="1">
      <alignment horizontal="right"/>
    </xf>
    <xf numFmtId="1" fontId="14" fillId="4" borderId="0" xfId="0" applyNumberFormat="1" applyFont="1" applyFill="1" applyAlignment="1">
      <alignment horizontal="left"/>
    </xf>
    <xf numFmtId="1" fontId="14" fillId="4" borderId="10" xfId="0" applyNumberFormat="1" applyFont="1" applyFill="1" applyBorder="1" applyAlignment="1">
      <alignment horizontal="left"/>
    </xf>
    <xf numFmtId="164" fontId="14" fillId="12" borderId="11" xfId="0" applyNumberFormat="1" applyFont="1" applyFill="1" applyBorder="1" applyAlignment="1">
      <alignment horizontal="right"/>
    </xf>
    <xf numFmtId="0" fontId="13" fillId="12" borderId="0" xfId="0" applyFont="1" applyFill="1"/>
    <xf numFmtId="164" fontId="14" fillId="12" borderId="0" xfId="0" applyNumberFormat="1" applyFont="1" applyFill="1" applyAlignment="1">
      <alignment horizontal="right"/>
    </xf>
    <xf numFmtId="3" fontId="14" fillId="12" borderId="0" xfId="0" applyNumberFormat="1" applyFont="1" applyFill="1" applyAlignment="1">
      <alignment horizontal="right"/>
    </xf>
    <xf numFmtId="2" fontId="14" fillId="12" borderId="0" xfId="0" applyNumberFormat="1" applyFont="1" applyFill="1" applyAlignment="1">
      <alignment horizontal="right"/>
    </xf>
    <xf numFmtId="0" fontId="6" fillId="5" borderId="3" xfId="0" applyFont="1" applyFill="1" applyBorder="1"/>
    <xf numFmtId="164" fontId="14" fillId="4" borderId="0" xfId="0" applyNumberFormat="1" applyFont="1" applyFill="1" applyAlignment="1">
      <alignment horizontal="left"/>
    </xf>
    <xf numFmtId="167" fontId="14" fillId="4" borderId="0" xfId="0" applyNumberFormat="1" applyFont="1" applyFill="1" applyAlignment="1">
      <alignment horizontal="left"/>
    </xf>
    <xf numFmtId="0" fontId="0" fillId="12" borderId="0" xfId="0" applyFill="1" applyAlignment="1">
      <alignment wrapText="1"/>
    </xf>
    <xf numFmtId="0" fontId="9" fillId="3" borderId="14" xfId="0" applyFont="1" applyFill="1" applyBorder="1"/>
    <xf numFmtId="0" fontId="9" fillId="3" borderId="15" xfId="0" applyFont="1" applyFill="1" applyBorder="1"/>
    <xf numFmtId="0" fontId="9" fillId="3" borderId="13" xfId="0" applyFont="1" applyFill="1" applyBorder="1"/>
    <xf numFmtId="0" fontId="4" fillId="5" borderId="16" xfId="0" applyFont="1" applyFill="1" applyBorder="1"/>
    <xf numFmtId="0" fontId="4" fillId="4" borderId="17" xfId="0" applyFont="1" applyFill="1" applyBorder="1"/>
    <xf numFmtId="164" fontId="4" fillId="4" borderId="17" xfId="0" applyNumberFormat="1" applyFont="1" applyFill="1" applyBorder="1"/>
    <xf numFmtId="164" fontId="0" fillId="5" borderId="17" xfId="0" applyNumberFormat="1" applyFill="1" applyBorder="1"/>
    <xf numFmtId="0" fontId="4" fillId="9" borderId="17" xfId="0" applyFont="1" applyFill="1" applyBorder="1"/>
    <xf numFmtId="0" fontId="4" fillId="5" borderId="18" xfId="0" applyFont="1" applyFill="1" applyBorder="1"/>
    <xf numFmtId="0" fontId="4" fillId="7" borderId="19" xfId="0" applyFont="1" applyFill="1" applyBorder="1"/>
    <xf numFmtId="0" fontId="4" fillId="7" borderId="20" xfId="0" applyFont="1" applyFill="1" applyBorder="1"/>
    <xf numFmtId="0" fontId="4" fillId="5" borderId="19" xfId="0" applyFont="1" applyFill="1" applyBorder="1"/>
    <xf numFmtId="0" fontId="4" fillId="5" borderId="20" xfId="0" applyFont="1" applyFill="1" applyBorder="1"/>
    <xf numFmtId="0" fontId="4" fillId="7" borderId="21" xfId="0" applyFont="1" applyFill="1" applyBorder="1"/>
    <xf numFmtId="0" fontId="4" fillId="4" borderId="22" xfId="0" applyFont="1" applyFill="1" applyBorder="1"/>
    <xf numFmtId="164" fontId="4" fillId="4" borderId="22" xfId="0" applyNumberFormat="1" applyFont="1" applyFill="1" applyBorder="1"/>
    <xf numFmtId="164" fontId="0" fillId="7" borderId="22" xfId="0" applyNumberFormat="1" applyFill="1" applyBorder="1"/>
    <xf numFmtId="0" fontId="4" fillId="9" borderId="22" xfId="0" applyFont="1" applyFill="1" applyBorder="1"/>
    <xf numFmtId="0" fontId="4" fillId="7" borderId="23" xfId="0" applyFont="1" applyFill="1" applyBorder="1"/>
    <xf numFmtId="3" fontId="15" fillId="4" borderId="0" xfId="0" applyNumberFormat="1" applyFont="1" applyFill="1" applyAlignment="1">
      <alignment horizontal="left"/>
    </xf>
    <xf numFmtId="0" fontId="16" fillId="5" borderId="7" xfId="0" applyFont="1" applyFill="1" applyBorder="1" applyAlignment="1">
      <alignment vertical="center"/>
    </xf>
    <xf numFmtId="164" fontId="16" fillId="5" borderId="3" xfId="0" applyNumberFormat="1" applyFont="1" applyFill="1" applyBorder="1" applyAlignment="1">
      <alignment vertical="center"/>
    </xf>
    <xf numFmtId="164" fontId="16" fillId="5" borderId="6" xfId="0" applyNumberFormat="1" applyFont="1" applyFill="1" applyBorder="1" applyAlignment="1">
      <alignment vertical="center"/>
    </xf>
    <xf numFmtId="0" fontId="16" fillId="5" borderId="4" xfId="0" applyFont="1" applyFill="1" applyBorder="1" applyAlignment="1">
      <alignment vertical="center"/>
    </xf>
    <xf numFmtId="164" fontId="16" fillId="5" borderId="9" xfId="0" applyNumberFormat="1" applyFont="1" applyFill="1" applyBorder="1" applyAlignment="1">
      <alignment vertical="center"/>
    </xf>
    <xf numFmtId="164" fontId="16" fillId="5" borderId="1" xfId="0" applyNumberFormat="1" applyFont="1" applyFill="1" applyBorder="1" applyAlignment="1">
      <alignment vertical="center"/>
    </xf>
    <xf numFmtId="164" fontId="16" fillId="4" borderId="3" xfId="0" applyNumberFormat="1" applyFont="1" applyFill="1" applyBorder="1"/>
    <xf numFmtId="164" fontId="16" fillId="5" borderId="8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vertical="center"/>
    </xf>
    <xf numFmtId="168" fontId="0" fillId="0" borderId="9" xfId="0" applyNumberFormat="1" applyBorder="1"/>
    <xf numFmtId="168" fontId="0" fillId="0" borderId="3" xfId="0" applyNumberFormat="1" applyBorder="1"/>
    <xf numFmtId="0" fontId="0" fillId="6" borderId="3" xfId="0" applyFill="1" applyBorder="1"/>
    <xf numFmtId="0" fontId="19" fillId="5" borderId="0" xfId="0" applyFont="1" applyFill="1"/>
    <xf numFmtId="0" fontId="21" fillId="6" borderId="3" xfId="0" applyFont="1" applyFill="1" applyBorder="1"/>
    <xf numFmtId="169" fontId="21" fillId="6" borderId="3" xfId="0" applyNumberFormat="1" applyFont="1" applyFill="1" applyBorder="1"/>
    <xf numFmtId="3" fontId="21" fillId="6" borderId="3" xfId="0" applyNumberFormat="1" applyFont="1" applyFill="1" applyBorder="1"/>
    <xf numFmtId="170" fontId="21" fillId="6" borderId="3" xfId="0" applyNumberFormat="1" applyFont="1" applyFill="1" applyBorder="1"/>
    <xf numFmtId="0" fontId="22" fillId="3" borderId="5" xfId="0" applyFont="1" applyFill="1" applyBorder="1"/>
    <xf numFmtId="0" fontId="22" fillId="3" borderId="8" xfId="0" applyFont="1" applyFill="1" applyBorder="1"/>
    <xf numFmtId="0" fontId="22" fillId="3" borderId="2" xfId="0" applyFont="1" applyFill="1" applyBorder="1"/>
    <xf numFmtId="0" fontId="23" fillId="4" borderId="7" xfId="0" applyFont="1" applyFill="1" applyBorder="1"/>
    <xf numFmtId="169" fontId="23" fillId="4" borderId="3" xfId="0" applyNumberFormat="1" applyFont="1" applyFill="1" applyBorder="1"/>
    <xf numFmtId="168" fontId="23" fillId="4" borderId="3" xfId="0" applyNumberFormat="1" applyFont="1" applyFill="1" applyBorder="1"/>
    <xf numFmtId="9" fontId="23" fillId="4" borderId="6" xfId="0" applyNumberFormat="1" applyFont="1" applyFill="1" applyBorder="1"/>
    <xf numFmtId="0" fontId="23" fillId="0" borderId="7" xfId="0" applyFont="1" applyBorder="1"/>
    <xf numFmtId="169" fontId="23" fillId="0" borderId="3" xfId="0" applyNumberFormat="1" applyFont="1" applyBorder="1"/>
    <xf numFmtId="168" fontId="23" fillId="0" borderId="3" xfId="0" applyNumberFormat="1" applyFont="1" applyBorder="1"/>
    <xf numFmtId="9" fontId="23" fillId="0" borderId="6" xfId="0" applyNumberFormat="1" applyFont="1" applyBorder="1"/>
    <xf numFmtId="0" fontId="23" fillId="4" borderId="17" xfId="0" applyFont="1" applyFill="1" applyBorder="1"/>
    <xf numFmtId="164" fontId="23" fillId="4" borderId="17" xfId="0" applyNumberFormat="1" applyFont="1" applyFill="1" applyBorder="1"/>
    <xf numFmtId="0" fontId="23" fillId="0" borderId="4" xfId="0" applyFont="1" applyBorder="1"/>
    <xf numFmtId="169" fontId="23" fillId="0" borderId="9" xfId="0" applyNumberFormat="1" applyFont="1" applyBorder="1"/>
    <xf numFmtId="168" fontId="23" fillId="0" borderId="9" xfId="0" applyNumberFormat="1" applyFont="1" applyBorder="1"/>
    <xf numFmtId="9" fontId="23" fillId="0" borderId="1" xfId="0" applyNumberFormat="1" applyFont="1" applyBorder="1"/>
    <xf numFmtId="168" fontId="23" fillId="0" borderId="8" xfId="0" applyNumberFormat="1" applyFont="1" applyBorder="1"/>
    <xf numFmtId="10" fontId="23" fillId="0" borderId="8" xfId="0" applyNumberFormat="1" applyFont="1" applyBorder="1"/>
    <xf numFmtId="10" fontId="23" fillId="0" borderId="3" xfId="0" applyNumberFormat="1" applyFont="1" applyBorder="1"/>
    <xf numFmtId="10" fontId="23" fillId="0" borderId="9" xfId="0" applyNumberFormat="1" applyFont="1" applyBorder="1"/>
    <xf numFmtId="0" fontId="2" fillId="2" borderId="0" xfId="0" applyFont="1" applyFill="1"/>
    <xf numFmtId="0" fontId="8" fillId="8" borderId="0" xfId="0" applyFont="1" applyFill="1" applyAlignment="1">
      <alignment wrapText="1"/>
    </xf>
    <xf numFmtId="0" fontId="11" fillId="10" borderId="0" xfId="0" applyFont="1" applyFill="1"/>
    <xf numFmtId="0" fontId="12" fillId="8" borderId="0" xfId="0" applyFont="1" applyFill="1" applyAlignment="1">
      <alignment wrapText="1"/>
    </xf>
    <xf numFmtId="0" fontId="2" fillId="2" borderId="0" xfId="0" applyFont="1" applyFill="1" applyAlignment="1">
      <alignment vertical="center"/>
    </xf>
    <xf numFmtId="0" fontId="8" fillId="8" borderId="0" xfId="0" applyFont="1" applyFill="1" applyAlignment="1">
      <alignment vertical="center" wrapText="1"/>
    </xf>
    <xf numFmtId="0" fontId="9" fillId="3" borderId="3" xfId="0" applyFont="1" applyFill="1" applyBorder="1"/>
    <xf numFmtId="0" fontId="11" fillId="10" borderId="0" xfId="0" applyFont="1" applyFill="1" applyAlignment="1">
      <alignment horizontal="left"/>
    </xf>
    <xf numFmtId="3" fontId="10" fillId="4" borderId="0" xfId="0" applyNumberFormat="1" applyFont="1" applyFill="1" applyAlignment="1">
      <alignment horizontal="left" vertical="center" wrapText="1"/>
    </xf>
    <xf numFmtId="0" fontId="18" fillId="2" borderId="0" xfId="0" applyFont="1" applyFill="1"/>
    <xf numFmtId="0" fontId="20" fillId="8" borderId="0" xfId="0" applyFont="1" applyFill="1" applyAlignment="1">
      <alignment wrapText="1"/>
    </xf>
  </cellXfs>
  <cellStyles count="1">
    <cellStyle name="Normal" xfId="0" builtinId="0"/>
  </cellStyles>
  <dxfs count="47">
    <dxf>
      <font>
        <color rgb="FF262626"/>
        <name val="Aptos"/>
      </font>
      <numFmt numFmtId="14" formatCode="0.00%"/>
      <fill>
        <patternFill patternType="none">
          <fgColor rgb="FF000000"/>
          <bgColor rgb="FFFFFFFF"/>
        </patternFill>
      </fill>
      <border diagonalUp="0" diagonalDown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</border>
    </dxf>
    <dxf>
      <font>
        <color rgb="FF262626"/>
        <name val="Aptos"/>
      </font>
      <numFmt numFmtId="168" formatCode="#,##0.0"/>
      <fill>
        <patternFill patternType="none">
          <fgColor rgb="FF000000"/>
          <bgColor rgb="FFFFFFFF"/>
        </patternFill>
      </fill>
      <border diagonalUp="0" diagonalDown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</border>
    </dxf>
    <dxf>
      <font>
        <color rgb="FF262626"/>
        <name val="Aptos"/>
      </font>
      <numFmt numFmtId="13" formatCode="0%"/>
      <fill>
        <patternFill patternType="none">
          <fgColor indexed="64"/>
          <bgColor indexed="65"/>
        </patternFill>
      </fill>
      <border diagonalUp="0" diagonalDown="0" outline="0">
        <left style="thin">
          <color rgb="FFB7C9E2"/>
        </left>
        <right/>
        <top style="thin">
          <color rgb="FFB7C9E2"/>
        </top>
        <bottom style="thin">
          <color rgb="FFB7C9E2"/>
        </bottom>
      </border>
    </dxf>
    <dxf>
      <font>
        <color rgb="FF262626"/>
        <name val="Aptos"/>
      </font>
      <numFmt numFmtId="168" formatCode="#,##0.0"/>
      <fill>
        <patternFill patternType="none">
          <fgColor indexed="64"/>
          <bgColor indexed="65"/>
        </patternFill>
      </fill>
      <border diagonalUp="0" diagonalDown="0" outline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</border>
    </dxf>
    <dxf>
      <font>
        <color rgb="FF262626"/>
        <name val="Aptos"/>
      </font>
      <numFmt numFmtId="168" formatCode="#,##0.0"/>
      <fill>
        <patternFill patternType="none">
          <fgColor indexed="64"/>
          <bgColor indexed="65"/>
        </patternFill>
      </fill>
      <border diagonalUp="0" diagonalDown="0" outline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</border>
    </dxf>
    <dxf>
      <font>
        <color rgb="FF262626"/>
        <name val="Aptos"/>
      </font>
      <numFmt numFmtId="168" formatCode="#,##0.0"/>
      <fill>
        <patternFill patternType="none">
          <fgColor indexed="64"/>
          <bgColor indexed="65"/>
        </patternFill>
      </fill>
      <border diagonalUp="0" diagonalDown="0" outline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</border>
    </dxf>
    <dxf>
      <font>
        <color rgb="FF262626"/>
        <name val="Aptos"/>
      </font>
      <numFmt numFmtId="168" formatCode="#,##0.0"/>
      <fill>
        <patternFill patternType="none">
          <fgColor indexed="64"/>
          <bgColor indexed="65"/>
        </patternFill>
      </fill>
      <border diagonalUp="0" diagonalDown="0" outline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</border>
    </dxf>
    <dxf>
      <font>
        <color rgb="FF262626"/>
        <name val="Aptos"/>
      </font>
      <numFmt numFmtId="168" formatCode="#,##0.0"/>
      <fill>
        <patternFill patternType="none">
          <fgColor indexed="64"/>
          <bgColor indexed="65"/>
        </patternFill>
      </fill>
      <border diagonalUp="0" diagonalDown="0" outline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</border>
    </dxf>
    <dxf>
      <font>
        <color rgb="FF262626"/>
        <name val="Aptos"/>
      </font>
      <numFmt numFmtId="168" formatCode="#,##0.0"/>
      <fill>
        <patternFill patternType="none">
          <fgColor indexed="64"/>
          <bgColor indexed="65"/>
        </patternFill>
      </fill>
      <border diagonalUp="0" diagonalDown="0" outline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</border>
    </dxf>
    <dxf>
      <font>
        <color rgb="FF262626"/>
        <name val="Aptos"/>
      </font>
      <numFmt numFmtId="168" formatCode="#,##0.0"/>
      <fill>
        <patternFill patternType="none">
          <fgColor indexed="64"/>
          <bgColor indexed="65"/>
        </patternFill>
      </fill>
      <border diagonalUp="0" diagonalDown="0" outline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</border>
    </dxf>
    <dxf>
      <font>
        <color rgb="FF262626"/>
        <name val="Aptos"/>
      </font>
      <numFmt numFmtId="168" formatCode="#,##0.0"/>
      <fill>
        <patternFill patternType="none">
          <fgColor indexed="64"/>
          <bgColor indexed="65"/>
        </patternFill>
      </fill>
      <border diagonalUp="0" diagonalDown="0" outline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</border>
    </dxf>
    <dxf>
      <font>
        <color rgb="FF262626"/>
        <name val="Aptos"/>
      </font>
      <numFmt numFmtId="168" formatCode="#,##0.0"/>
      <fill>
        <patternFill patternType="none">
          <fgColor indexed="64"/>
          <bgColor indexed="65"/>
        </patternFill>
      </fill>
      <border diagonalUp="0" diagonalDown="0" outline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</border>
    </dxf>
    <dxf>
      <font>
        <color rgb="FF262626"/>
        <name val="Aptos"/>
      </font>
      <numFmt numFmtId="168" formatCode="#,##0.0"/>
      <fill>
        <patternFill patternType="none">
          <fgColor indexed="64"/>
          <bgColor indexed="65"/>
        </patternFill>
      </fill>
      <border diagonalUp="0" diagonalDown="0" outline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</border>
    </dxf>
    <dxf>
      <font>
        <color rgb="FF262626"/>
        <name val="Aptos"/>
      </font>
      <numFmt numFmtId="168" formatCode="#,##0.0"/>
      <fill>
        <patternFill patternType="none">
          <fgColor indexed="64"/>
          <bgColor indexed="65"/>
        </patternFill>
      </fill>
      <border diagonalUp="0" diagonalDown="0" outline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</border>
    </dxf>
    <dxf>
      <font>
        <color rgb="FF262626"/>
        <name val="Aptos"/>
      </font>
      <numFmt numFmtId="168" formatCode="#,##0.0"/>
      <fill>
        <patternFill patternType="none">
          <fgColor indexed="64"/>
          <bgColor indexed="65"/>
        </patternFill>
      </fill>
      <border diagonalUp="0" diagonalDown="0" outline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</border>
    </dxf>
    <dxf>
      <font>
        <color rgb="FF262626"/>
        <name val="Aptos"/>
      </font>
      <numFmt numFmtId="169" formatCode="dd\-mmm\-yyyy"/>
      <fill>
        <patternFill patternType="none">
          <fgColor indexed="64"/>
          <bgColor indexed="65"/>
        </patternFill>
      </fill>
      <border diagonalUp="0" diagonalDown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</border>
    </dxf>
    <dxf>
      <font>
        <color rgb="FF262626"/>
        <name val="Aptos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rgb="FFB7C9E2"/>
        </right>
        <top style="thin">
          <color rgb="FFB7C9E2"/>
        </top>
        <bottom style="thin">
          <color rgb="FFB7C9E2"/>
        </bottom>
      </border>
    </dxf>
    <dxf>
      <border>
        <top style="thin">
          <color rgb="FFB7C9E2"/>
        </top>
      </border>
    </dxf>
    <dxf>
      <border diagonalUp="0" diagonalDown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</border>
    </dxf>
    <dxf>
      <font>
        <color rgb="FF262626"/>
        <name val="Aptos"/>
      </font>
      <fill>
        <patternFill patternType="none">
          <fgColor rgb="FF000000"/>
          <bgColor rgb="FFFFFFFF"/>
        </patternFill>
      </fill>
    </dxf>
    <dxf>
      <border>
        <bottom style="thin">
          <color rgb="FFB7C9E2"/>
        </bottom>
      </border>
    </dxf>
    <dxf>
      <font>
        <b/>
        <color rgb="FFFFFFFF"/>
        <name val="Aptos"/>
      </font>
      <fill>
        <patternFill patternType="solid">
          <fgColor indexed="64"/>
          <bgColor rgb="FF4472C4"/>
        </patternFill>
      </fill>
      <border diagonalUp="0" diagonalDown="0">
        <left style="thin">
          <color rgb="FFB7C9E2"/>
        </left>
        <right style="thin">
          <color rgb="FFB7C9E2"/>
        </right>
        <top/>
        <bottom/>
        <vertical style="thin">
          <color rgb="FFB7C9E2"/>
        </vertical>
        <horizontal style="thin">
          <color rgb="FFB7C9E2"/>
        </horizontal>
      </border>
    </dxf>
    <dxf>
      <font>
        <color rgb="FF262626"/>
        <name val="Aptos"/>
      </font>
      <numFmt numFmtId="164" formatCode="0.0"/>
      <fill>
        <patternFill patternType="solid">
          <fgColor indexed="64"/>
          <bgColor rgb="FFFFFFFF"/>
        </patternFill>
      </fill>
      <alignment vertical="center"/>
      <border diagonalUp="0" diagonalDown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  <vertical style="thin">
          <color rgb="FFB7C9E2"/>
        </vertical>
        <horizontal style="thin">
          <color rgb="FFB7C9E2"/>
        </horizontal>
      </border>
    </dxf>
    <dxf>
      <font>
        <color rgb="FF262626"/>
        <name val="Aptos"/>
      </font>
      <numFmt numFmtId="164" formatCode="0.0"/>
      <fill>
        <patternFill patternType="solid">
          <fgColor indexed="64"/>
          <bgColor rgb="FFFFFFFF"/>
        </patternFill>
      </fill>
      <alignment vertical="center"/>
      <border diagonalUp="0" diagonalDown="0">
        <left style="thin">
          <color rgb="FFB7C9E2"/>
        </left>
        <right/>
        <top style="thin">
          <color rgb="FFB7C9E2"/>
        </top>
        <bottom style="thin">
          <color rgb="FFB7C9E2"/>
        </bottom>
        <vertical style="thin">
          <color rgb="FFB7C9E2"/>
        </vertical>
        <horizontal style="thin">
          <color rgb="FFB7C9E2"/>
        </horizontal>
      </border>
    </dxf>
    <dxf>
      <font>
        <color rgb="FF262626"/>
        <name val="Aptos"/>
      </font>
      <numFmt numFmtId="164" formatCode="0.0"/>
      <fill>
        <patternFill patternType="solid">
          <fgColor indexed="64"/>
          <bgColor rgb="FFFFFFFF"/>
        </patternFill>
      </fill>
      <alignment vertical="center"/>
      <border diagonalUp="0" diagonalDown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  <vertical style="thin">
          <color rgb="FFB7C9E2"/>
        </vertical>
        <horizontal style="thin">
          <color rgb="FFB7C9E2"/>
        </horizontal>
      </border>
    </dxf>
    <dxf>
      <font>
        <color rgb="FF262626"/>
        <name val="Aptos"/>
      </font>
      <numFmt numFmtId="164" formatCode="0.0"/>
      <fill>
        <patternFill patternType="solid">
          <fgColor indexed="64"/>
          <bgColor rgb="FFFFFFFF"/>
        </patternFill>
      </fill>
      <alignment vertical="center"/>
      <border diagonalUp="0" diagonalDown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  <vertical style="thin">
          <color rgb="FFB7C9E2"/>
        </vertical>
        <horizontal style="thin">
          <color rgb="FFB7C9E2"/>
        </horizontal>
      </border>
    </dxf>
    <dxf>
      <font>
        <color rgb="FF262626"/>
        <name val="Aptos"/>
      </font>
      <numFmt numFmtId="164" formatCode="0.0"/>
      <fill>
        <patternFill patternType="solid">
          <fgColor indexed="64"/>
          <bgColor rgb="FFFFFFFF"/>
        </patternFill>
      </fill>
      <alignment vertical="center"/>
      <border diagonalUp="0" diagonalDown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  <vertical style="thin">
          <color rgb="FFB7C9E2"/>
        </vertical>
        <horizontal style="thin">
          <color rgb="FFB7C9E2"/>
        </horizontal>
      </border>
    </dxf>
    <dxf>
      <font>
        <color rgb="FF262626"/>
        <name val="Aptos"/>
      </font>
      <fill>
        <patternFill patternType="solid">
          <fgColor indexed="64"/>
          <bgColor rgb="FFFFFFFF"/>
        </patternFill>
      </fill>
      <alignment vertical="center"/>
      <border diagonalUp="0" diagonalDown="0">
        <left/>
        <right style="thin">
          <color rgb="FFB7C9E2"/>
        </right>
        <top style="thin">
          <color rgb="FFB7C9E2"/>
        </top>
        <bottom style="thin">
          <color rgb="FFB7C9E2"/>
        </bottom>
        <vertical style="thin">
          <color rgb="FFB7C9E2"/>
        </vertical>
        <horizontal style="thin">
          <color rgb="FFB7C9E2"/>
        </horizontal>
      </border>
    </dxf>
    <dxf>
      <border>
        <top style="thin">
          <color rgb="FFB7C9E2"/>
        </top>
      </border>
    </dxf>
    <dxf>
      <border diagonalUp="0" diagonalDown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</border>
    </dxf>
    <dxf>
      <font>
        <color rgb="FF262626"/>
        <name val="Aptos"/>
      </font>
      <fill>
        <patternFill patternType="solid">
          <fgColor indexed="64"/>
          <bgColor rgb="FFFFFFFF"/>
        </patternFill>
      </fill>
      <alignment vertical="center"/>
    </dxf>
    <dxf>
      <border>
        <bottom style="thin">
          <color rgb="FFB7C9E2"/>
        </bottom>
      </border>
    </dxf>
    <dxf>
      <font>
        <b/>
        <color rgb="FFFFFFFF"/>
        <name val="Aptos"/>
      </font>
      <fill>
        <patternFill patternType="solid">
          <fgColor indexed="64"/>
          <bgColor rgb="FF4472C4"/>
        </patternFill>
      </fill>
      <alignment vertical="center"/>
      <border diagonalUp="0" diagonalDown="0">
        <left style="thin">
          <color rgb="FFB7C9E2"/>
        </left>
        <right style="thin">
          <color rgb="FFB7C9E2"/>
        </right>
        <top/>
        <bottom/>
        <vertical style="thin">
          <color rgb="FFB7C9E2"/>
        </vertical>
        <horizontal style="thin">
          <color rgb="FFB7C9E2"/>
        </horizontal>
      </border>
    </dxf>
    <dxf>
      <font>
        <color rgb="FF262626"/>
        <name val="Aptos"/>
      </font>
      <fill>
        <patternFill patternType="solid">
          <fgColor indexed="64"/>
          <bgColor rgb="FFFFFFFF"/>
        </patternFill>
      </fill>
      <border diagonalUp="0" diagonalDown="0">
        <left style="thin">
          <color rgb="FFB7C9E2"/>
        </left>
        <right/>
        <top style="thin">
          <color rgb="FFB7C9E2"/>
        </top>
        <bottom style="thin">
          <color rgb="FFB7C9E2"/>
        </bottom>
        <vertical style="thin">
          <color rgb="FFB7C9E2"/>
        </vertical>
        <horizontal style="thin">
          <color rgb="FFB7C9E2"/>
        </horizontal>
      </border>
    </dxf>
    <dxf>
      <font>
        <color rgb="FF262626"/>
        <name val="Aptos"/>
      </font>
      <fill>
        <patternFill patternType="solid">
          <fgColor indexed="64"/>
          <bgColor rgb="FFF8FBFF"/>
        </patternFill>
      </fill>
      <border diagonalUp="0" diagonalDown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  <vertical style="thin">
          <color rgb="FFB7C9E2"/>
        </vertical>
        <horizontal style="thin">
          <color rgb="FFB7C9E2"/>
        </horizontal>
      </border>
    </dxf>
    <dxf>
      <font>
        <color rgb="FF262626"/>
        <name val="Aptos"/>
      </font>
      <numFmt numFmtId="164" formatCode="0.0"/>
      <fill>
        <patternFill patternType="solid">
          <fgColor indexed="64"/>
          <bgColor rgb="FFFFFFFF"/>
        </patternFill>
      </fill>
      <border diagonalUp="0" diagonalDown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  <vertical style="thin">
          <color rgb="FFB7C9E2"/>
        </vertical>
        <horizontal style="thin">
          <color rgb="FFB7C9E2"/>
        </horizontal>
      </border>
    </dxf>
    <dxf>
      <font>
        <color rgb="FF262626"/>
        <name val="Aptos"/>
      </font>
      <numFmt numFmtId="164" formatCode="0.0"/>
      <fill>
        <patternFill patternType="solid">
          <fgColor indexed="64"/>
          <bgColor rgb="FFFFFFFF"/>
        </patternFill>
      </fill>
      <border diagonalUp="0" diagonalDown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  <vertical style="thin">
          <color rgb="FFB7C9E2"/>
        </vertical>
        <horizontal style="thin">
          <color rgb="FFB7C9E2"/>
        </horizontal>
      </border>
    </dxf>
    <dxf>
      <font>
        <color rgb="FF262626"/>
        <name val="Aptos"/>
      </font>
      <numFmt numFmtId="164" formatCode="0.0"/>
      <fill>
        <patternFill patternType="solid">
          <fgColor indexed="64"/>
          <bgColor rgb="FFFFFFFF"/>
        </patternFill>
      </fill>
      <border diagonalUp="0" diagonalDown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  <vertical style="thin">
          <color rgb="FFB7C9E2"/>
        </vertical>
        <horizontal style="thin">
          <color rgb="FFB7C9E2"/>
        </horizontal>
      </border>
    </dxf>
    <dxf>
      <font>
        <color rgb="FF262626"/>
        <name val="Aptos"/>
      </font>
      <numFmt numFmtId="164" formatCode="0.0"/>
      <fill>
        <patternFill patternType="solid">
          <fgColor indexed="64"/>
          <bgColor rgb="FFFFFFFF"/>
        </patternFill>
      </fill>
      <border diagonalUp="0" diagonalDown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  <vertical style="thin">
          <color rgb="FFB7C9E2"/>
        </vertical>
        <horizontal style="thin">
          <color rgb="FFB7C9E2"/>
        </horizontal>
      </border>
    </dxf>
    <dxf>
      <font>
        <color rgb="FF262626"/>
        <name val="Aptos"/>
      </font>
      <numFmt numFmtId="164" formatCode="0.0"/>
      <fill>
        <patternFill patternType="solid">
          <fgColor indexed="64"/>
          <bgColor rgb="FFFFF2CC"/>
        </patternFill>
      </fill>
      <border diagonalUp="0" diagonalDown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  <vertical style="thin">
          <color rgb="FFB7C9E2"/>
        </vertical>
        <horizontal style="thin">
          <color rgb="FFB7C9E2"/>
        </horizontal>
      </border>
    </dxf>
    <dxf>
      <font>
        <color rgb="FF262626"/>
        <name val="Aptos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  <vertical style="thin">
          <color rgb="FFB7C9E2"/>
        </vertical>
        <horizontal style="thin">
          <color rgb="FFB7C9E2"/>
        </horizontal>
      </border>
    </dxf>
    <dxf>
      <font>
        <color rgb="FF262626"/>
        <name val="Aptos"/>
      </font>
      <fill>
        <patternFill patternType="solid">
          <fgColor indexed="64"/>
          <bgColor rgb="FFFFFFFF"/>
        </patternFill>
      </fill>
      <border diagonalUp="0" diagonalDown="0">
        <left/>
        <right style="thin">
          <color rgb="FFB7C9E2"/>
        </right>
        <top style="thin">
          <color rgb="FFB7C9E2"/>
        </top>
        <bottom style="thin">
          <color rgb="FFB7C9E2"/>
        </bottom>
        <vertical style="thin">
          <color rgb="FFB7C9E2"/>
        </vertical>
        <horizontal style="thin">
          <color rgb="FFB7C9E2"/>
        </horizontal>
      </border>
    </dxf>
    <dxf>
      <border>
        <top style="thin">
          <color rgb="FFB7C9E2"/>
        </top>
      </border>
    </dxf>
    <dxf>
      <border diagonalUp="0" diagonalDown="0">
        <left style="thin">
          <color rgb="FFB7C9E2"/>
        </left>
        <right style="thin">
          <color rgb="FFB7C9E2"/>
        </right>
        <top style="thin">
          <color rgb="FFB7C9E2"/>
        </top>
        <bottom style="thin">
          <color rgb="FFB7C9E2"/>
        </bottom>
      </border>
    </dxf>
    <dxf>
      <font>
        <color rgb="FF262626"/>
        <name val="Aptos"/>
      </font>
      <fill>
        <patternFill patternType="solid">
          <fgColor indexed="64"/>
          <bgColor rgb="FFFFFFFF"/>
        </patternFill>
      </fill>
    </dxf>
    <dxf>
      <border>
        <bottom style="thin">
          <color rgb="FFB7C9E2"/>
        </bottom>
      </border>
    </dxf>
    <dxf>
      <font>
        <b/>
        <color rgb="FFFFFFFF"/>
        <name val="Aptos"/>
      </font>
      <fill>
        <patternFill patternType="solid">
          <fgColor indexed="64"/>
          <bgColor rgb="FF4472C4"/>
        </patternFill>
      </fill>
      <border diagonalUp="0" diagonalDown="0">
        <left style="thin">
          <color rgb="FFB7C9E2"/>
        </left>
        <right style="thin">
          <color rgb="FFB7C9E2"/>
        </right>
        <top/>
        <bottom/>
        <vertical style="thin">
          <color rgb="FFB7C9E2"/>
        </vertical>
        <horizontal style="thin">
          <color rgb="FFB7C9E2"/>
        </horizontal>
      </border>
    </dxf>
  </dxfs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62309</xdr:colOff>
      <xdr:row>0</xdr:row>
      <xdr:rowOff>24209</xdr:rowOff>
    </xdr:from>
    <xdr:to>
      <xdr:col>7</xdr:col>
      <xdr:colOff>1063228</xdr:colOff>
      <xdr:row>0</xdr:row>
      <xdr:rowOff>270271</xdr:rowOff>
    </xdr:to>
    <xdr:sp macro="" textlink="">
      <xdr:nvSpPr>
        <xdr:cNvPr id="3" name="TextBox 1" title="🎯 Goals">
          <a:extLst>
            <a:ext uri="{FF2B5EF4-FFF2-40B4-BE49-F238E27FC236}">
              <a16:creationId xmlns:a16="http://schemas.microsoft.com/office/drawing/2014/main" id="{048F499A-8DD9-305A-F606-E93071588EEC}"/>
            </a:ext>
          </a:extLst>
        </xdr:cNvPr>
        <xdr:cNvSpPr txBox="1"/>
      </xdr:nvSpPr>
      <xdr:spPr>
        <a:xfrm>
          <a:off x="7331075" y="24209"/>
          <a:ext cx="1000919" cy="246062"/>
        </a:xfrm>
        <a:prstGeom prst="rect">
          <a:avLst/>
        </a:prstGeom>
        <a:solidFill>
          <a:prstClr val="white"/>
        </a:solidFill>
        <a:ln>
          <a:solidFill>
            <a:srgbClr val="4472C4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17365D"/>
              </a:solidFill>
              <a:effectLst/>
              <a:uLnTx/>
              <a:uFillTx/>
              <a:latin typeface="Aptos Narrow" panose="02110004020202020204"/>
            </a:rPr>
            <a:t>🎯 Goals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0</xdr:row>
      <xdr:rowOff>31750</xdr:rowOff>
    </xdr:from>
    <xdr:to>
      <xdr:col>8</xdr:col>
      <xdr:colOff>1238250</xdr:colOff>
      <xdr:row>0</xdr:row>
      <xdr:rowOff>279400</xdr:rowOff>
    </xdr:to>
    <xdr:sp macro="" textlink="">
      <xdr:nvSpPr>
        <xdr:cNvPr id="2" name="TextBox 8" title="🍽 Meals">
          <a:extLst>
            <a:ext uri="{FF2B5EF4-FFF2-40B4-BE49-F238E27FC236}">
              <a16:creationId xmlns:a16="http://schemas.microsoft.com/office/drawing/2014/main" id="{E04F9F10-B73F-17CF-3703-33CBEA1EEBFF}"/>
            </a:ext>
          </a:extLst>
        </xdr:cNvPr>
        <xdr:cNvSpPr txBox="1"/>
      </xdr:nvSpPr>
      <xdr:spPr>
        <a:xfrm>
          <a:off x="7175500" y="31750"/>
          <a:ext cx="876300" cy="247650"/>
        </a:xfrm>
        <a:prstGeom prst="rect">
          <a:avLst/>
        </a:prstGeom>
        <a:solidFill>
          <a:prstClr val="white"/>
        </a:solidFill>
        <a:ln>
          <a:solidFill>
            <a:srgbClr val="4472C4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17365D"/>
              </a:solidFill>
              <a:effectLst/>
              <a:uLnTx/>
              <a:uFillTx/>
              <a:latin typeface="Aptos Narrow" panose="02110004020202020204"/>
            </a:rPr>
            <a:t>🍽 Meals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1187450</xdr:colOff>
      <xdr:row>0</xdr:row>
      <xdr:rowOff>31750</xdr:rowOff>
    </xdr:from>
    <xdr:to>
      <xdr:col>5</xdr:col>
      <xdr:colOff>1162050</xdr:colOff>
      <xdr:row>0</xdr:row>
      <xdr:rowOff>279400</xdr:rowOff>
    </xdr:to>
    <xdr:sp macro="" textlink="">
      <xdr:nvSpPr>
        <xdr:cNvPr id="3" name="TextBox 1" title="🥗 Foods">
          <a:extLst>
            <a:ext uri="{FF2B5EF4-FFF2-40B4-BE49-F238E27FC236}">
              <a16:creationId xmlns:a16="http://schemas.microsoft.com/office/drawing/2014/main" id="{1F09C83B-7459-99AF-4E27-4E55997A8B24}"/>
            </a:ext>
          </a:extLst>
        </xdr:cNvPr>
        <xdr:cNvSpPr txBox="1"/>
      </xdr:nvSpPr>
      <xdr:spPr>
        <a:xfrm>
          <a:off x="5670550" y="31750"/>
          <a:ext cx="1168400" cy="247650"/>
        </a:xfrm>
        <a:prstGeom prst="rect">
          <a:avLst/>
        </a:prstGeom>
        <a:solidFill>
          <a:prstClr val="white"/>
        </a:solidFill>
        <a:ln>
          <a:solidFill>
            <a:srgbClr val="4472C4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17365D"/>
              </a:solidFill>
              <a:effectLst/>
              <a:uLnTx/>
              <a:uFillTx/>
              <a:latin typeface="Aptos Narrow" panose="02110004020202020204"/>
            </a:rPr>
            <a:t>🥗 Foods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952500</xdr:colOff>
      <xdr:row>0</xdr:row>
      <xdr:rowOff>25400</xdr:rowOff>
    </xdr:from>
    <xdr:to>
      <xdr:col>14</xdr:col>
      <xdr:colOff>958850</xdr:colOff>
      <xdr:row>0</xdr:row>
      <xdr:rowOff>273050</xdr:rowOff>
    </xdr:to>
    <xdr:sp macro="" textlink="">
      <xdr:nvSpPr>
        <xdr:cNvPr id="2" name="TextBox 1" title="📈 Bulk">
          <a:extLst>
            <a:ext uri="{FF2B5EF4-FFF2-40B4-BE49-F238E27FC236}">
              <a16:creationId xmlns:a16="http://schemas.microsoft.com/office/drawing/2014/main" id="{092F29DC-5A60-6743-A6E2-4CEE843A497F}"/>
            </a:ext>
          </a:extLst>
        </xdr:cNvPr>
        <xdr:cNvSpPr txBox="1"/>
      </xdr:nvSpPr>
      <xdr:spPr>
        <a:xfrm>
          <a:off x="13970000" y="25400"/>
          <a:ext cx="1263650" cy="247650"/>
        </a:xfrm>
        <a:prstGeom prst="rect">
          <a:avLst/>
        </a:prstGeom>
        <a:solidFill>
          <a:prstClr val="white"/>
        </a:solidFill>
        <a:ln>
          <a:solidFill>
            <a:srgbClr val="4472C4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17365D"/>
              </a:solidFill>
              <a:effectLst/>
              <a:uLnTx/>
              <a:uFillTx/>
              <a:latin typeface="Aptos Narrow" panose="02110004020202020204"/>
            </a:rPr>
            <a:t>📈 Bulk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A62336-3919-4081-86BA-F77D212EBD3B}" name="DailyIntake" displayName="DailyIntake" ref="A17:I57" totalsRowShown="0" headerRowDxfId="46" dataDxfId="44" headerRowBorderDxfId="45" tableBorderDxfId="43" totalsRowBorderDxfId="42">
  <autoFilter ref="A17:I57" xr:uid="{58A62336-3919-4081-86BA-F77D212EBD3B}"/>
  <tableColumns count="9">
    <tableColumn id="1" xr3:uid="{125DC87F-4B5E-44DA-86FD-F87C1D553730}" name="Meal" dataDxfId="41"/>
    <tableColumn id="2" xr3:uid="{73E1D625-AB4F-4F9C-8A3A-4BBDD2C857E4}" name="Food Name" dataDxfId="40"/>
    <tableColumn id="3" xr3:uid="{82C34B7B-6514-442F-AE6D-BA10318C8814}" name="Grams" dataDxfId="39"/>
    <tableColumn id="4" xr3:uid="{DBC2ACB7-CF2A-4379-AB27-3731B4468F6C}" name="Calories" dataDxfId="38">
      <calculatedColumnFormula array="1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calculatedColumnFormula>
    </tableColumn>
    <tableColumn id="5" xr3:uid="{6A535B52-6509-4560-B5B1-8FE4DA976ABC}" name="Carbs (g)" dataDxfId="37">
      <calculatedColumnFormula array="1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calculatedColumnFormula>
    </tableColumn>
    <tableColumn id="6" xr3:uid="{BCDB1577-9B3A-4628-B278-68D78691CEC3}" name="Protein (g)" dataDxfId="36">
      <calculatedColumnFormula array="1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calculatedColumnFormula>
    </tableColumn>
    <tableColumn id="7" xr3:uid="{9690022C-D274-44DD-A9CA-4BC88510889B}" name="Fat (g)" dataDxfId="35">
      <calculatedColumnFormula array="1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calculatedColumnFormula>
    </tableColumn>
    <tableColumn id="8" xr3:uid="{57360DEC-2F34-47FB-B8A3-FB2348834456}" name="Notes" dataDxfId="34"/>
    <tableColumn id="9" xr3:uid="{D789BF0A-B0E2-4D7C-947F-8A743F1D7318}" name="Source" dataDxfId="33">
      <calculatedColumnFormula array="1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calculatedColumnFormula>
    </tableColumn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E3EEE9-4300-46EC-9C3A-7546ED622187}" name="FoodLibrary" displayName="FoodLibrary" ref="A6:G100" totalsRowShown="0" headerRowDxfId="32" dataDxfId="30" headerRowBorderDxfId="31" tableBorderDxfId="29" totalsRowBorderDxfId="28">
  <autoFilter ref="A6:G100" xr:uid="{FCE3EEE9-4300-46EC-9C3A-7546ED622187}"/>
  <tableColumns count="7">
    <tableColumn id="1" xr3:uid="{D60B5B02-5E1C-4EF1-BCAE-65C70C7334DF}" name="Food Name" dataDxfId="27"/>
    <tableColumn id="6" xr3:uid="{BC658FDB-5A46-40D1-BB17-A6207ACBE622}" name="Custom"/>
    <tableColumn id="2" xr3:uid="{A638DBCD-27AE-4AB4-B37F-D1D9E31F7401}" name="Calories / 100g" dataDxfId="26"/>
    <tableColumn id="3" xr3:uid="{D3A7B134-E562-47FC-8642-2CDD3CCA4FB1}" name="Carbs / 100g" dataDxfId="25"/>
    <tableColumn id="4" xr3:uid="{9B2388BF-4A98-4C83-9F52-1095280EC990}" name="Protein / 100g" dataDxfId="24"/>
    <tableColumn id="5" xr3:uid="{34417A85-C6D4-4988-88F4-12F3FDEE4BFD}" name="Fat / 100g" dataDxfId="23"/>
    <tableColumn id="7" xr3:uid="{C1A471DE-BF6E-4FE1-A415-1ED672152818}" name="Lookup Key" dataDxfId="22">
      <calculatedColumnFormula>IF(FoodLibrary[[#This Row],[Food Name]]="","",TRIM(FoodLibrary[[#This Row],[Food Name]]))</calculatedColumnFormula>
    </tableColumn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60F1E6-03EA-074F-A943-3328A56E88B6}" name="BulkReport379" displayName="BulkReport379" ref="A6:Q66" totalsRowShown="0" headerRowDxfId="21" dataDxfId="19" headerRowBorderDxfId="20" tableBorderDxfId="18" totalsRowBorderDxfId="17">
  <autoFilter ref="A6:Q66" xr:uid="{48ADC636-FA56-4234-8DA8-B479589C58A9}"/>
  <tableColumns count="17">
    <tableColumn id="1" xr3:uid="{4512D782-F454-2D4F-A231-411746754DB0}" name="Day" dataDxfId="16"/>
    <tableColumn id="2" xr3:uid="{444081C9-736B-1B4B-8F81-05CA1D3FE635}" name="Date" dataDxfId="15"/>
    <tableColumn id="3" xr3:uid="{2C03D1BB-E749-7B44-AFB0-D3F604A57240}" name="Meal 1 kcal" dataDxfId="14"/>
    <tableColumn id="4" xr3:uid="{E8C47193-E424-2649-B92B-09829235007E}" name="Meal 2 kcal" dataDxfId="13"/>
    <tableColumn id="5" xr3:uid="{CCA92ADF-A5E5-3D44-A179-922DC9BE2360}" name="Meal 3 kcal" dataDxfId="12"/>
    <tableColumn id="6" xr3:uid="{6C77367B-4C2F-8440-BAA3-2734C5B3C093}" name="Meal 4 kcal" dataDxfId="11"/>
    <tableColumn id="7" xr3:uid="{1C4C1799-8A71-2442-9B1D-92374DDDC6CC}" name="Calories" dataDxfId="10"/>
    <tableColumn id="8" xr3:uid="{861634FF-05F0-B644-B4CB-A9513A1C4FAF}" name="Carbs (g)" dataDxfId="9"/>
    <tableColumn id="9" xr3:uid="{FC91B699-4F4D-FB48-8B76-82047547E860}" name="Protein (g)" dataDxfId="8"/>
    <tableColumn id="10" xr3:uid="{8CF99EA6-4A16-C748-8EBC-8EFF8859C97E}" name="Fat (g)" dataDxfId="7"/>
    <tableColumn id="11" xr3:uid="{D3A037E2-FF34-D04C-AF53-6EB9FA5F2E8A}" name="Target Calories" dataDxfId="6"/>
    <tableColumn id="12" xr3:uid="{B9E0445D-4F29-2545-BD66-25593ED07127}" name="Actual Surplus" dataDxfId="5"/>
    <tableColumn id="13" xr3:uid="{1E025610-6D0C-114B-8284-6D9587BC12FE}" name="Cumulative Surplus" dataDxfId="4"/>
    <tableColumn id="14" xr3:uid="{B0673EE2-EB78-7346-A7FE-332A7A5B64A7}" name="Est. Gain (kg)" dataDxfId="3"/>
    <tableColumn id="15" xr3:uid="{925D8758-51EF-DE4D-AFB0-77EF90512C9F}" name="Progress %" dataDxfId="2"/>
    <tableColumn id="16" xr3:uid="{1BA5234A-25B6-664D-92BB-01B5A58B7B04}" name="Weight" dataDxfId="1"/>
    <tableColumn id="17" xr3:uid="{1A2C1524-CFA9-C340-A434-8B5FD066BCDC}" name="Growth" dataDxfId="0">
      <calculatedColumnFormula>IFERROR(('MaintenanceReport20261016(60)'!P7-'MaintenanceReport20261016(60)'!P6)/'MaintenanceReport20261016(60)'!P6,"")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EB3C-EBFF-42D4-BA8E-C33C2E5A4A66}">
  <sheetPr codeName="Sheet6"/>
  <dimension ref="A1:I46"/>
  <sheetViews>
    <sheetView showGridLines="0" showRowColHeaders="0" zoomScale="114" zoomScaleNormal="115" workbookViewId="0">
      <selection activeCell="C25" sqref="C25"/>
    </sheetView>
  </sheetViews>
  <sheetFormatPr baseColWidth="10" defaultColWidth="8.83203125" defaultRowHeight="15" x14ac:dyDescent="0.2"/>
  <cols>
    <col min="1" max="1" width="23.1640625" bestFit="1" customWidth="1"/>
    <col min="2" max="2" width="19.83203125" bestFit="1" customWidth="1"/>
    <col min="3" max="3" width="3.1640625" customWidth="1"/>
    <col min="4" max="4" width="30.83203125" customWidth="1"/>
    <col min="5" max="5" width="27.33203125" customWidth="1"/>
    <col min="6" max="8" width="15.5" customWidth="1"/>
    <col min="9" max="9" width="8.6640625" customWidth="1"/>
  </cols>
  <sheetData>
    <row r="1" spans="1:9" ht="24" x14ac:dyDescent="0.2">
      <c r="A1" s="136" t="s">
        <v>13</v>
      </c>
      <c r="B1" s="136"/>
      <c r="C1" s="136"/>
      <c r="D1" s="136"/>
      <c r="E1" s="136"/>
      <c r="F1" s="136"/>
      <c r="G1" s="136"/>
      <c r="H1" s="136"/>
      <c r="I1" s="1"/>
    </row>
    <row r="2" spans="1:9" x14ac:dyDescent="0.2">
      <c r="A2" s="137" t="s">
        <v>14</v>
      </c>
      <c r="B2" s="137"/>
      <c r="C2" s="137"/>
      <c r="D2" s="137"/>
      <c r="E2" s="137"/>
      <c r="F2" s="137"/>
      <c r="G2" s="137"/>
      <c r="H2" s="137"/>
      <c r="I2" s="1"/>
    </row>
    <row r="3" spans="1:9" x14ac:dyDescent="0.2">
      <c r="A3" s="2"/>
      <c r="B3" s="2"/>
      <c r="C3" s="2"/>
      <c r="D3" s="2"/>
      <c r="E3" s="2"/>
      <c r="F3" s="2"/>
      <c r="G3" s="2"/>
      <c r="H3" s="2"/>
      <c r="I3" s="1"/>
    </row>
    <row r="4" spans="1:9" x14ac:dyDescent="0.2">
      <c r="A4" s="138" t="s">
        <v>15</v>
      </c>
      <c r="B4" s="138"/>
      <c r="C4" s="2"/>
      <c r="D4" s="2"/>
      <c r="E4" s="2"/>
      <c r="F4" s="2"/>
      <c r="G4" s="2"/>
      <c r="H4" s="2"/>
      <c r="I4" s="1"/>
    </row>
    <row r="5" spans="1:9" x14ac:dyDescent="0.2">
      <c r="A5" s="13" t="s">
        <v>16</v>
      </c>
      <c r="B5" s="14">
        <v>46311</v>
      </c>
      <c r="C5" s="2"/>
      <c r="D5" s="6" t="s">
        <v>17</v>
      </c>
      <c r="E5" s="6" t="s">
        <v>18</v>
      </c>
      <c r="F5" s="6" t="s">
        <v>19</v>
      </c>
      <c r="G5" s="6" t="s">
        <v>20</v>
      </c>
      <c r="H5" s="6" t="s">
        <v>21</v>
      </c>
      <c r="I5" s="1"/>
    </row>
    <row r="6" spans="1:9" x14ac:dyDescent="0.2">
      <c r="A6" s="15" t="s">
        <v>22</v>
      </c>
      <c r="B6" s="16">
        <f>B5+B7-1</f>
        <v>46370</v>
      </c>
      <c r="C6" s="2"/>
      <c r="D6" s="23" t="s">
        <v>23</v>
      </c>
      <c r="E6" s="24">
        <f>$B$17</f>
        <v>2334</v>
      </c>
      <c r="F6" s="24">
        <f>ROUND(IF($E$35&lt;&gt;"",$E$35*$B$41,$B$9*2),0)</f>
        <v>123</v>
      </c>
      <c r="G6" s="24">
        <f>MAX($E$45,ROUND(E6*$B$42/9,0))</f>
        <v>65</v>
      </c>
      <c r="H6" s="24">
        <f>MAX(0,ROUND((E6-(F6*4+G6*9))/4,0))</f>
        <v>314</v>
      </c>
      <c r="I6" s="1"/>
    </row>
    <row r="7" spans="1:9" x14ac:dyDescent="0.2">
      <c r="A7" s="17" t="s">
        <v>24</v>
      </c>
      <c r="B7" s="18">
        <v>60</v>
      </c>
      <c r="C7" s="2"/>
      <c r="D7" s="25" t="s">
        <v>25</v>
      </c>
      <c r="E7" s="26">
        <f>$B$16</f>
        <v>2431</v>
      </c>
      <c r="F7" s="26">
        <f>ROUND(IF($E$35&lt;&gt;"",$E$35*2,$B$9*1.8),0)</f>
        <v>112</v>
      </c>
      <c r="G7" s="26">
        <f>MAX($E$45,ROUND(E7*$B$42/9,0))</f>
        <v>68</v>
      </c>
      <c r="H7" s="26">
        <f>MAX(0,ROUND((E7-(F7*4+G7*9))/4,0))</f>
        <v>343</v>
      </c>
      <c r="I7" s="1"/>
    </row>
    <row r="8" spans="1:9" x14ac:dyDescent="0.2">
      <c r="A8" s="15" t="s">
        <v>26</v>
      </c>
      <c r="B8" s="51" t="s">
        <v>25</v>
      </c>
      <c r="C8" s="2"/>
      <c r="D8" s="23" t="s">
        <v>27</v>
      </c>
      <c r="E8" s="24">
        <f>$B$18</f>
        <v>2553</v>
      </c>
      <c r="F8" s="24">
        <f>ROUND(IF($E$35&lt;&gt;"",$E$35*2.2,$B$9*2),0)</f>
        <v>123</v>
      </c>
      <c r="G8" s="24">
        <f>MAX($E$45,ROUND(E8*$B$42/9,0))</f>
        <v>71</v>
      </c>
      <c r="H8" s="24">
        <f>MAX(0,ROUND((E8-(F8*4+G8*9))/4,0))</f>
        <v>356</v>
      </c>
      <c r="I8" s="1"/>
    </row>
    <row r="9" spans="1:9" x14ac:dyDescent="0.2">
      <c r="A9" s="17" t="s">
        <v>28</v>
      </c>
      <c r="B9" s="19">
        <v>66</v>
      </c>
      <c r="C9" s="2"/>
      <c r="D9" s="25" t="s">
        <v>29</v>
      </c>
      <c r="E9" s="26">
        <f>IF($B$8="Cut",E6,IF($B$8="Maintenance",E7,E8))</f>
        <v>2431</v>
      </c>
      <c r="F9" s="26">
        <f>IF($B$8="Cut",F6,IF($B$8="Maintenance",F7,F8))</f>
        <v>112</v>
      </c>
      <c r="G9" s="26">
        <f>IF($B$8="Cut",G6,IF($B$8="Maintenance",G7,G8))</f>
        <v>68</v>
      </c>
      <c r="H9" s="26">
        <f>IF($B$8="Cut",H6,IF($B$8="Maintenance",H7,H8))</f>
        <v>343</v>
      </c>
      <c r="I9" s="1"/>
    </row>
    <row r="10" spans="1:9" x14ac:dyDescent="0.2">
      <c r="A10" s="15" t="s">
        <v>30</v>
      </c>
      <c r="B10" s="19">
        <v>174</v>
      </c>
      <c r="C10" s="2"/>
      <c r="D10" s="2"/>
      <c r="E10" s="3"/>
      <c r="F10" s="3"/>
      <c r="G10" s="3"/>
      <c r="H10" s="3"/>
      <c r="I10" s="1"/>
    </row>
    <row r="11" spans="1:9" x14ac:dyDescent="0.2">
      <c r="A11" s="17" t="s">
        <v>2</v>
      </c>
      <c r="B11" s="19">
        <v>45</v>
      </c>
      <c r="C11" s="2"/>
      <c r="D11" s="2"/>
      <c r="E11" s="3"/>
      <c r="F11" s="3"/>
      <c r="G11" s="3"/>
      <c r="H11" s="3"/>
      <c r="I11" s="1"/>
    </row>
    <row r="12" spans="1:9" x14ac:dyDescent="0.2">
      <c r="A12" s="15" t="s">
        <v>31</v>
      </c>
      <c r="B12" s="59">
        <f>$E$41</f>
        <v>1.6</v>
      </c>
      <c r="C12" s="2"/>
      <c r="D12" s="7" t="s">
        <v>32</v>
      </c>
      <c r="E12" s="8" t="s">
        <v>12</v>
      </c>
      <c r="F12" s="8" t="s">
        <v>21</v>
      </c>
      <c r="G12" s="8" t="s">
        <v>19</v>
      </c>
      <c r="H12" s="8" t="s">
        <v>20</v>
      </c>
      <c r="I12" s="1"/>
    </row>
    <row r="13" spans="1:9" x14ac:dyDescent="0.2">
      <c r="A13" s="29" t="s">
        <v>33</v>
      </c>
      <c r="B13" s="20">
        <v>0.04</v>
      </c>
      <c r="C13" s="2"/>
      <c r="D13" s="15" t="s">
        <v>34</v>
      </c>
      <c r="E13" s="27">
        <f>'Daily Intake'!E6</f>
        <v>2447.2084210526318</v>
      </c>
      <c r="F13" s="27">
        <f>'Daily Intake'!F6</f>
        <v>306.82938596491226</v>
      </c>
      <c r="G13" s="27">
        <f>'Daily Intake'!G6</f>
        <v>186.88942105263155</v>
      </c>
      <c r="H13" s="27">
        <f>'Daily Intake'!H6</f>
        <v>39.914684210526325</v>
      </c>
      <c r="I13" s="1"/>
    </row>
    <row r="14" spans="1:9" x14ac:dyDescent="0.2">
      <c r="A14" s="70" t="s">
        <v>35</v>
      </c>
      <c r="B14" s="20">
        <v>0.05</v>
      </c>
      <c r="C14" s="2"/>
      <c r="D14" s="17" t="s">
        <v>4</v>
      </c>
      <c r="E14" s="28">
        <f>$E$9</f>
        <v>2431</v>
      </c>
      <c r="F14" s="28">
        <f>$H$9</f>
        <v>343</v>
      </c>
      <c r="G14" s="28">
        <f>$F$9</f>
        <v>112</v>
      </c>
      <c r="H14" s="28">
        <f>$G$9</f>
        <v>68</v>
      </c>
      <c r="I14" s="1"/>
    </row>
    <row r="15" spans="1:9" x14ac:dyDescent="0.2">
      <c r="A15" s="17" t="s">
        <v>3</v>
      </c>
      <c r="B15" s="21">
        <f>$E$38</f>
        <v>1582</v>
      </c>
      <c r="C15" s="2"/>
      <c r="D15" s="15" t="s">
        <v>36</v>
      </c>
      <c r="E15" s="27">
        <f>E14-E13</f>
        <v>-16.20842105263182</v>
      </c>
      <c r="F15" s="27">
        <f>F14-F13</f>
        <v>36.170614035087738</v>
      </c>
      <c r="G15" s="27">
        <f>G14-G13</f>
        <v>-74.889421052631548</v>
      </c>
      <c r="H15" s="27">
        <f>H14-H13</f>
        <v>28.085315789473675</v>
      </c>
      <c r="I15" s="1"/>
    </row>
    <row r="16" spans="1:9" x14ac:dyDescent="0.2">
      <c r="A16" s="15" t="s">
        <v>37</v>
      </c>
      <c r="B16" s="22">
        <f>$E$42</f>
        <v>2431</v>
      </c>
      <c r="C16" s="2"/>
      <c r="D16" s="29" t="s">
        <v>38</v>
      </c>
      <c r="E16" s="30">
        <f>IFERROR(E13/E14,0)</f>
        <v>1.006667388339215</v>
      </c>
      <c r="F16" s="30">
        <f>IFERROR(F13/F14,0)</f>
        <v>0.89454631476650803</v>
      </c>
      <c r="G16" s="30">
        <f>IFERROR(G13/G14,0)</f>
        <v>1.6686555451127816</v>
      </c>
      <c r="H16" s="30">
        <f>IFERROR(H13/H14,0)</f>
        <v>0.58698065015479894</v>
      </c>
      <c r="I16" s="1"/>
    </row>
    <row r="17" spans="1:9" x14ac:dyDescent="0.2">
      <c r="A17" s="17" t="s">
        <v>39</v>
      </c>
      <c r="B17" s="21">
        <f>$E$43</f>
        <v>2334</v>
      </c>
      <c r="C17" s="2"/>
      <c r="D17" s="2"/>
      <c r="E17" s="3"/>
      <c r="F17" s="3"/>
      <c r="G17" s="3"/>
      <c r="H17" s="3"/>
      <c r="I17" s="1"/>
    </row>
    <row r="18" spans="1:9" x14ac:dyDescent="0.2">
      <c r="A18" s="15" t="s">
        <v>40</v>
      </c>
      <c r="B18" s="22">
        <f>$E$44</f>
        <v>2553</v>
      </c>
      <c r="C18" s="4"/>
      <c r="D18" s="4"/>
      <c r="E18" s="5"/>
      <c r="F18" s="5"/>
      <c r="G18" s="5"/>
      <c r="H18" s="5"/>
      <c r="I18" s="1"/>
    </row>
    <row r="19" spans="1:9" ht="16" x14ac:dyDescent="0.2">
      <c r="A19" s="52" t="s">
        <v>41</v>
      </c>
      <c r="B19" s="140" t="s">
        <v>42</v>
      </c>
      <c r="C19" s="140"/>
      <c r="D19" s="140"/>
      <c r="E19" s="140"/>
      <c r="F19" s="140"/>
      <c r="G19" s="140"/>
      <c r="H19" s="140"/>
      <c r="I19" s="1"/>
    </row>
    <row r="20" spans="1:9" x14ac:dyDescent="0.2">
      <c r="A20" s="1"/>
      <c r="B20" s="1"/>
      <c r="C20" s="1"/>
      <c r="D20" s="1"/>
      <c r="E20" s="1"/>
      <c r="F20" s="1"/>
      <c r="G20" s="1"/>
      <c r="H20" s="1"/>
      <c r="I20" s="1"/>
    </row>
    <row r="21" spans="1:9" ht="19" x14ac:dyDescent="0.25">
      <c r="A21" s="139" t="s">
        <v>43</v>
      </c>
      <c r="B21" s="139"/>
      <c r="C21" s="139"/>
      <c r="D21" s="139"/>
      <c r="E21" s="139"/>
      <c r="F21" s="139"/>
      <c r="G21" s="139"/>
      <c r="H21" s="139"/>
    </row>
    <row r="22" spans="1:9" x14ac:dyDescent="0.2">
      <c r="A22" s="135" t="s">
        <v>44</v>
      </c>
      <c r="B22" s="135"/>
      <c r="C22" s="135"/>
      <c r="D22" s="135"/>
      <c r="E22" s="135"/>
      <c r="F22" s="135"/>
      <c r="G22" s="135"/>
      <c r="H22" s="135"/>
    </row>
    <row r="23" spans="1:9" x14ac:dyDescent="0.2">
      <c r="D23" t="s">
        <v>45</v>
      </c>
    </row>
    <row r="24" spans="1:9" x14ac:dyDescent="0.2">
      <c r="A24" s="53" t="s">
        <v>46</v>
      </c>
      <c r="B24" s="55" t="s">
        <v>47</v>
      </c>
      <c r="D24" s="56" t="s">
        <v>48</v>
      </c>
      <c r="E24" s="60" cm="1">
        <f t="array" ref="E24">_xlfn.SWITCH($B$24,"Resistance",6,"Running",9.8,"Walking",3.5,"Swimming",8,"Badminton",5.5,"Other",5,5)</f>
        <v>6</v>
      </c>
    </row>
    <row r="25" spans="1:9" x14ac:dyDescent="0.2">
      <c r="A25" s="53" t="s">
        <v>49</v>
      </c>
      <c r="B25" s="55" t="s">
        <v>50</v>
      </c>
      <c r="D25" s="57" t="s">
        <v>51</v>
      </c>
      <c r="E25" s="65" cm="1">
        <f t="array" ref="E25">ROUND($E$24*_xlfn.SWITCH($B$25,"Low",0.8,"Moderate",1,"High",1.25,"Very high",1.5,1),1)</f>
        <v>7.5</v>
      </c>
    </row>
    <row r="26" spans="1:9" x14ac:dyDescent="0.2">
      <c r="A26" s="53" t="s">
        <v>52</v>
      </c>
      <c r="B26" s="63">
        <v>110</v>
      </c>
      <c r="D26" s="57" t="s">
        <v>53</v>
      </c>
      <c r="E26" s="61">
        <f>ROUND(MAX(0,$E$25-1)*3.5*$B$9/200*$B$26,0)</f>
        <v>826</v>
      </c>
    </row>
    <row r="27" spans="1:9" x14ac:dyDescent="0.2">
      <c r="A27" s="53" t="s">
        <v>54</v>
      </c>
      <c r="B27" s="64">
        <v>4</v>
      </c>
      <c r="D27" s="57" t="s">
        <v>55</v>
      </c>
      <c r="E27" s="61">
        <f>$E$26*$B$27</f>
        <v>3304</v>
      </c>
    </row>
    <row r="28" spans="1:9" x14ac:dyDescent="0.2">
      <c r="A28" s="53" t="s">
        <v>56</v>
      </c>
      <c r="B28" s="93">
        <v>100</v>
      </c>
      <c r="D28" s="57" t="s">
        <v>57</v>
      </c>
      <c r="E28" s="61">
        <f>ROUND($E$27/7,0)</f>
        <v>472</v>
      </c>
    </row>
    <row r="29" spans="1:9" x14ac:dyDescent="0.2">
      <c r="D29" s="58" t="s">
        <v>58</v>
      </c>
      <c r="E29" s="62">
        <f>ROUND(1+($E$28/$E$38),2)</f>
        <v>1.3</v>
      </c>
    </row>
    <row r="31" spans="1:9" ht="19" x14ac:dyDescent="0.25">
      <c r="A31" s="134" t="s">
        <v>59</v>
      </c>
      <c r="B31" s="134"/>
      <c r="C31" s="134"/>
      <c r="D31" s="134"/>
      <c r="E31" s="134"/>
      <c r="F31" s="134"/>
      <c r="G31" s="134"/>
      <c r="H31" s="134"/>
    </row>
    <row r="32" spans="1:9" x14ac:dyDescent="0.2">
      <c r="A32" s="135" t="s">
        <v>60</v>
      </c>
      <c r="B32" s="135"/>
      <c r="C32" s="135"/>
      <c r="D32" s="135"/>
      <c r="E32" s="135"/>
      <c r="F32" s="135"/>
      <c r="G32" s="135"/>
      <c r="H32" s="135"/>
    </row>
    <row r="34" spans="1:5" x14ac:dyDescent="0.2">
      <c r="A34" s="53" t="s">
        <v>61</v>
      </c>
      <c r="B34" s="55" t="s">
        <v>62</v>
      </c>
      <c r="D34" s="66" t="s">
        <v>63</v>
      </c>
      <c r="E34" s="67">
        <f>ROUND($B$9/(($B$10/100)^2),1)</f>
        <v>21.8</v>
      </c>
    </row>
    <row r="35" spans="1:5" x14ac:dyDescent="0.2">
      <c r="A35" s="53" t="s">
        <v>64</v>
      </c>
      <c r="B35" s="72">
        <v>0.15</v>
      </c>
      <c r="D35" s="66" t="s">
        <v>65</v>
      </c>
      <c r="E35" s="67">
        <f>IF($B$35&gt;0,ROUND($B$9*(1-$B$35),1),"")</f>
        <v>56.1</v>
      </c>
    </row>
    <row r="36" spans="1:5" x14ac:dyDescent="0.2">
      <c r="A36" s="53" t="s">
        <v>66</v>
      </c>
      <c r="B36" s="55" t="s">
        <v>67</v>
      </c>
      <c r="D36" s="66" t="s">
        <v>68</v>
      </c>
      <c r="E36" s="68">
        <f>ROUND((10*$B$9)+(6.25*$B$10)-(5*$B$11)+IF($B$34="Male",5,-161),0)</f>
        <v>1528</v>
      </c>
    </row>
    <row r="37" spans="1:5" x14ac:dyDescent="0.2">
      <c r="A37" s="53" t="s">
        <v>69</v>
      </c>
      <c r="B37" s="55" t="s">
        <v>70</v>
      </c>
      <c r="D37" s="66" t="s">
        <v>71</v>
      </c>
      <c r="E37" s="68">
        <f>IF($B$35&gt;0,ROUND(370+(21.6*$E$35),0),"")</f>
        <v>1582</v>
      </c>
    </row>
    <row r="38" spans="1:5" x14ac:dyDescent="0.2">
      <c r="A38" s="53" t="s">
        <v>72</v>
      </c>
      <c r="B38" s="72">
        <f>$B$13</f>
        <v>0.04</v>
      </c>
      <c r="D38" s="66" t="s">
        <v>73</v>
      </c>
      <c r="E38" s="68">
        <f>IF($B$36="Mifflin",$E$36,IF($B$36="Katch",$E$37,IF($B$35&gt;0,$E$37,$E$36)))</f>
        <v>1582</v>
      </c>
    </row>
    <row r="39" spans="1:5" x14ac:dyDescent="0.2">
      <c r="A39" s="53" t="s">
        <v>74</v>
      </c>
      <c r="B39" s="72">
        <f>$B$14</f>
        <v>0.05</v>
      </c>
      <c r="D39" s="66" t="s">
        <v>75</v>
      </c>
      <c r="E39" s="69" cm="1">
        <f t="array" ref="E39">_xlfn.SWITCH($B$37,"Sedentary desk",1.2,"Light daily movement",1.3,"Active job",1.45,"Very active job",1.6,1.2)</f>
        <v>1.3</v>
      </c>
    </row>
    <row r="40" spans="1:5" x14ac:dyDescent="0.2">
      <c r="A40" s="53" t="s">
        <v>76</v>
      </c>
      <c r="B40" s="71" t="s">
        <v>77</v>
      </c>
      <c r="D40" s="66" t="s">
        <v>78</v>
      </c>
      <c r="E40" s="69">
        <f>ROUND($E$28/$E$38,2)</f>
        <v>0.3</v>
      </c>
    </row>
    <row r="41" spans="1:5" x14ac:dyDescent="0.2">
      <c r="A41" s="53" t="s">
        <v>79</v>
      </c>
      <c r="B41" s="71">
        <v>2.2000000000000002</v>
      </c>
      <c r="D41" s="66" t="s">
        <v>80</v>
      </c>
      <c r="E41" s="69">
        <f>IF($B$40="Include logged exercise",MIN(2.2,ROUND($E$39+$E$40,2)),$E$39)</f>
        <v>1.6</v>
      </c>
    </row>
    <row r="42" spans="1:5" x14ac:dyDescent="0.2">
      <c r="A42" s="53" t="s">
        <v>81</v>
      </c>
      <c r="B42" s="71">
        <v>0.25</v>
      </c>
      <c r="D42" s="66" t="s">
        <v>82</v>
      </c>
      <c r="E42" s="68">
        <f>MAX(0,ROUND($E$38*$E$41-N($B$28),0))</f>
        <v>2431</v>
      </c>
    </row>
    <row r="43" spans="1:5" x14ac:dyDescent="0.2">
      <c r="A43" t="s">
        <v>83</v>
      </c>
      <c r="B43" s="54">
        <v>0.6</v>
      </c>
      <c r="D43" s="66" t="s">
        <v>84</v>
      </c>
      <c r="E43" s="68">
        <f>ROUND($E$42*(1-$B$13),0)</f>
        <v>2334</v>
      </c>
    </row>
    <row r="44" spans="1:5" x14ac:dyDescent="0.2">
      <c r="D44" s="66" t="s">
        <v>85</v>
      </c>
      <c r="E44" s="68">
        <f>ROUND($E$42*(1+$B$14),0)</f>
        <v>2553</v>
      </c>
    </row>
    <row r="45" spans="1:5" x14ac:dyDescent="0.2">
      <c r="D45" s="66" t="s">
        <v>86</v>
      </c>
      <c r="E45" s="68">
        <f>ROUND($B$9*$B$43,0)</f>
        <v>40</v>
      </c>
    </row>
    <row r="46" spans="1:5" ht="64" x14ac:dyDescent="0.2">
      <c r="D46" t="s">
        <v>87</v>
      </c>
      <c r="E46" s="73" t="str">
        <f>IF($B$40="Include logged exercise","TDEE = selected BMR × (non-exercise factor + net exercise add-on) − Adjust TDEE Value. Cut/Bulk use this adjusted maintenance.","TDEE = selected BMR × non-exercise factor − Adjust TDEE Value. Cut/Bulk use this adjusted maintenance.")</f>
        <v>TDEE = selected BMR × (non-exercise factor + net exercise add-on) − Adjust TDEE Value. Cut/Bulk use this adjusted maintenance.</v>
      </c>
    </row>
  </sheetData>
  <mergeCells count="8">
    <mergeCell ref="A31:H31"/>
    <mergeCell ref="A32:H32"/>
    <mergeCell ref="A1:H1"/>
    <mergeCell ref="A2:H2"/>
    <mergeCell ref="A4:B4"/>
    <mergeCell ref="A21:H21"/>
    <mergeCell ref="A22:H22"/>
    <mergeCell ref="B19:H19"/>
  </mergeCells>
  <dataValidations count="7">
    <dataValidation type="list" allowBlank="1" showInputMessage="1" showErrorMessage="1" errorTitle="Invalid Goal" error="Choose Cut, Maintenance, or Bulk." sqref="B8" xr:uid="{608D1D4C-F68C-49D3-B4C3-4E80A07AAFF0}">
      <formula1>"Cut,Maintenance,Bulk"</formula1>
    </dataValidation>
    <dataValidation type="list" allowBlank="1" showInputMessage="1" showErrorMessage="1" errorTitle="Invalid exercise type" error="Choose Resistance, Running, Walking, Swimming, Badminton, or Other." promptTitle="Exercise type" prompt="Choose the closest exercise type." sqref="B24" xr:uid="{1CB33B5B-B5E5-4321-A820-CB8F6ABB64F6}">
      <formula1>"Resistance,Running,Walking,Swimming,Badminton,Other"</formula1>
    </dataValidation>
    <dataValidation type="list" allowBlank="1" showInputMessage="1" showErrorMessage="1" errorTitle="Invalid intensity" error="Use Low, Moderate, High, or Very high." promptTitle="Intensity" prompt="Choose Low, Moderate, High, or Very high." sqref="B25" xr:uid="{094393C7-7C9B-42CD-A90D-BDE25F921B08}">
      <formula1>"Low,Moderate,High,Very high"</formula1>
    </dataValidation>
    <dataValidation type="list" allowBlank="1" showInputMessage="1" showErrorMessage="1" sqref="B34" xr:uid="{DA64B532-2038-4D7C-B78D-F91BAA897D04}">
      <formula1>"Male,Female"</formula1>
    </dataValidation>
    <dataValidation type="list" allowBlank="1" showInputMessage="1" showErrorMessage="1" sqref="B36" xr:uid="{C95AD5BF-4CBF-48C3-B285-A1502ACA8E5E}">
      <formula1>"Auto,Mifflin,Katch"</formula1>
    </dataValidation>
    <dataValidation type="list" allowBlank="1" showInputMessage="1" showErrorMessage="1" sqref="B40" xr:uid="{16B3D5BE-DB31-4CE4-ABC0-0CFB55D1358F}">
      <formula1>"Include logged exercise,Ignore logged exercise"</formula1>
    </dataValidation>
    <dataValidation type="list" allowBlank="1" showInputMessage="1" showErrorMessage="1" sqref="B37" xr:uid="{88CE407C-7E30-464A-B55B-953357C3D855}">
      <formula1>"Sedentary desk,Light daily movement,Active job,Very active job"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7CB2-6EDE-4B9D-B4D5-857EFA452DC5}">
  <sheetPr codeName="Sheet7"/>
  <dimension ref="A1:P58"/>
  <sheetViews>
    <sheetView showGridLines="0" tabSelected="1" workbookViewId="0">
      <pane ySplit="17" topLeftCell="A25" activePane="bottomLeft" state="frozen"/>
      <selection activeCell="C25" sqref="C25"/>
      <selection pane="bottomLeft" activeCell="C25" sqref="C25"/>
    </sheetView>
  </sheetViews>
  <sheetFormatPr baseColWidth="10" defaultColWidth="8.83203125" defaultRowHeight="15" x14ac:dyDescent="0.2"/>
  <cols>
    <col min="1" max="1" width="14.33203125" bestFit="1" customWidth="1"/>
    <col min="2" max="2" width="27" bestFit="1" customWidth="1"/>
    <col min="3" max="3" width="9.5" bestFit="1" customWidth="1"/>
    <col min="4" max="4" width="19.1640625" bestFit="1" customWidth="1"/>
    <col min="5" max="5" width="11.5" bestFit="1" customWidth="1"/>
    <col min="6" max="6" width="12.5" bestFit="1" customWidth="1"/>
    <col min="7" max="7" width="10.1640625" bestFit="1" customWidth="1"/>
    <col min="8" max="8" width="8.83203125" bestFit="1" customWidth="1"/>
    <col min="9" max="9" width="19.1640625" bestFit="1" customWidth="1"/>
    <col min="10" max="10" width="16.33203125" customWidth="1"/>
    <col min="11" max="14" width="17.1640625" customWidth="1"/>
  </cols>
  <sheetData>
    <row r="1" spans="1:16" ht="24" x14ac:dyDescent="0.3">
      <c r="A1" s="132" t="s">
        <v>88</v>
      </c>
      <c r="B1" s="132"/>
      <c r="C1" s="132"/>
      <c r="D1" s="132"/>
      <c r="E1" s="132"/>
      <c r="F1" s="132"/>
      <c r="G1" s="132"/>
      <c r="H1" s="132"/>
      <c r="I1" s="132"/>
      <c r="J1" s="1"/>
    </row>
    <row r="2" spans="1:16" x14ac:dyDescent="0.2">
      <c r="A2" s="133" t="s">
        <v>89</v>
      </c>
      <c r="B2" s="133"/>
      <c r="C2" s="133"/>
      <c r="D2" s="133"/>
      <c r="E2" s="133"/>
      <c r="F2" s="133"/>
      <c r="G2" s="133"/>
      <c r="H2" s="133"/>
      <c r="I2" s="133"/>
      <c r="J2" s="1"/>
    </row>
    <row r="3" spans="1:16" x14ac:dyDescent="0.2">
      <c r="A3" s="4"/>
      <c r="B3" s="4"/>
      <c r="C3" s="4"/>
      <c r="D3" s="4"/>
      <c r="E3" s="4"/>
      <c r="F3" s="4"/>
      <c r="G3" s="4"/>
      <c r="H3" s="4"/>
      <c r="I3" s="4"/>
      <c r="J3" s="1"/>
    </row>
    <row r="4" spans="1:16" x14ac:dyDescent="0.2">
      <c r="A4" s="7" t="s">
        <v>90</v>
      </c>
      <c r="B4" s="12">
        <f>'Macro Goals'!B5</f>
        <v>46311</v>
      </c>
      <c r="C4" s="4"/>
      <c r="D4" s="4"/>
      <c r="E4" s="4"/>
      <c r="F4" s="4"/>
      <c r="G4" s="4"/>
      <c r="H4" s="4"/>
      <c r="I4" s="4"/>
      <c r="J4" s="1"/>
    </row>
    <row r="5" spans="1:16" x14ac:dyDescent="0.2">
      <c r="A5" s="15" t="s">
        <v>22</v>
      </c>
      <c r="B5" s="40">
        <f>'Macro Goals'!B6</f>
        <v>46370</v>
      </c>
      <c r="C5" s="4"/>
      <c r="D5" s="7" t="s">
        <v>91</v>
      </c>
      <c r="E5" s="7" t="s">
        <v>12</v>
      </c>
      <c r="F5" s="7" t="s">
        <v>21</v>
      </c>
      <c r="G5" s="7" t="s">
        <v>19</v>
      </c>
      <c r="H5" s="7" t="s">
        <v>20</v>
      </c>
      <c r="I5" s="4"/>
      <c r="J5" s="1"/>
    </row>
    <row r="6" spans="1:16" x14ac:dyDescent="0.2">
      <c r="A6" s="17" t="s">
        <v>24</v>
      </c>
      <c r="B6" s="41">
        <v>60</v>
      </c>
      <c r="C6" s="4"/>
      <c r="D6" s="15" t="s">
        <v>34</v>
      </c>
      <c r="E6" s="48">
        <f>SUM(D18:D57)</f>
        <v>2447.2084210526318</v>
      </c>
      <c r="F6" s="48">
        <f>SUM(E18:E57)</f>
        <v>306.82938596491226</v>
      </c>
      <c r="G6" s="48">
        <f>SUM(F18:F57)</f>
        <v>186.88942105263155</v>
      </c>
      <c r="H6" s="48">
        <f>SUM(G18:G57)</f>
        <v>39.914684210526325</v>
      </c>
      <c r="I6" s="4"/>
      <c r="J6" s="1"/>
    </row>
    <row r="7" spans="1:16" x14ac:dyDescent="0.2">
      <c r="A7" s="15" t="s">
        <v>26</v>
      </c>
      <c r="B7" s="42" t="s">
        <v>25</v>
      </c>
      <c r="C7" s="4"/>
      <c r="D7" s="17" t="s">
        <v>4</v>
      </c>
      <c r="E7" s="49">
        <f>B8</f>
        <v>2431</v>
      </c>
      <c r="F7" s="49">
        <f>B11</f>
        <v>343</v>
      </c>
      <c r="G7" s="49">
        <f>B9</f>
        <v>112</v>
      </c>
      <c r="H7" s="49">
        <f>B10</f>
        <v>68</v>
      </c>
      <c r="I7" s="4"/>
      <c r="J7" s="1"/>
    </row>
    <row r="8" spans="1:16" x14ac:dyDescent="0.2">
      <c r="A8" s="17" t="s">
        <v>92</v>
      </c>
      <c r="B8" s="21">
        <f>'Macro Goals'!E9</f>
        <v>2431</v>
      </c>
      <c r="C8" s="4"/>
      <c r="D8" s="15" t="s">
        <v>36</v>
      </c>
      <c r="E8" s="48">
        <f>E7-E6</f>
        <v>-16.20842105263182</v>
      </c>
      <c r="F8" s="48">
        <f>F7-F6</f>
        <v>36.170614035087738</v>
      </c>
      <c r="G8" s="48">
        <f>G7-G6</f>
        <v>-74.889421052631548</v>
      </c>
      <c r="H8" s="48">
        <f>H7-H6</f>
        <v>28.085315789473675</v>
      </c>
      <c r="I8" s="4"/>
      <c r="J8" s="1"/>
      <c r="P8" t="s">
        <v>212</v>
      </c>
    </row>
    <row r="9" spans="1:16" x14ac:dyDescent="0.2">
      <c r="A9" s="15" t="s">
        <v>93</v>
      </c>
      <c r="B9" s="22">
        <f>'Macro Goals'!F9</f>
        <v>112</v>
      </c>
      <c r="C9" s="4"/>
      <c r="D9" s="17" t="s">
        <v>38</v>
      </c>
      <c r="E9" s="49">
        <f>IFERROR(E6/E7,0)</f>
        <v>1.006667388339215</v>
      </c>
      <c r="F9" s="49">
        <f>IFERROR(F6/F7,0)</f>
        <v>0.89454631476650803</v>
      </c>
      <c r="G9" s="49">
        <f>IFERROR(G6/G7,0)</f>
        <v>1.6686555451127816</v>
      </c>
      <c r="H9" s="49">
        <f>IFERROR(H6/H7,0)</f>
        <v>0.58698065015479894</v>
      </c>
      <c r="I9" s="4"/>
      <c r="J9" s="1"/>
    </row>
    <row r="10" spans="1:16" x14ac:dyDescent="0.2">
      <c r="A10" s="17" t="s">
        <v>94</v>
      </c>
      <c r="B10" s="21">
        <f>'Macro Goals'!G9</f>
        <v>68</v>
      </c>
      <c r="C10" s="4"/>
      <c r="D10" s="4"/>
      <c r="E10" s="4"/>
      <c r="F10" s="4"/>
      <c r="G10" s="4"/>
      <c r="H10" s="4"/>
      <c r="I10" s="4"/>
      <c r="J10" s="1"/>
    </row>
    <row r="11" spans="1:16" x14ac:dyDescent="0.2">
      <c r="A11" s="15" t="s">
        <v>95</v>
      </c>
      <c r="B11" s="22">
        <f>'Macro Goals'!H9</f>
        <v>343</v>
      </c>
      <c r="C11" s="4"/>
      <c r="D11" s="7" t="s">
        <v>96</v>
      </c>
      <c r="E11" s="7" t="s">
        <v>12</v>
      </c>
      <c r="F11" s="7" t="s">
        <v>21</v>
      </c>
      <c r="G11" s="7" t="s">
        <v>19</v>
      </c>
      <c r="H11" s="7" t="s">
        <v>20</v>
      </c>
      <c r="I11" s="4"/>
      <c r="J11" s="1"/>
    </row>
    <row r="12" spans="1:16" x14ac:dyDescent="0.2">
      <c r="A12" s="4"/>
      <c r="B12" s="4"/>
      <c r="C12" s="4"/>
      <c r="D12" s="15" t="s">
        <v>97</v>
      </c>
      <c r="E12" s="48">
        <f>SUMIFS(D18:D57,A18:A57,D12)</f>
        <v>695.01921052631587</v>
      </c>
      <c r="F12" s="48">
        <f>SUMIFS(E18:E57,A18:A57,D12)</f>
        <v>84.287192982456148</v>
      </c>
      <c r="G12" s="48">
        <f>SUMIFS(F18:F57,A18:A57,D12)</f>
        <v>52.196710526315783</v>
      </c>
      <c r="H12" s="48">
        <f>SUMIFS(G18:G57,A18:A57,D12)</f>
        <v>11.13434210526316</v>
      </c>
      <c r="I12" s="4"/>
      <c r="J12" s="1"/>
    </row>
    <row r="13" spans="1:16" x14ac:dyDescent="0.2">
      <c r="A13" s="4"/>
      <c r="B13" s="4"/>
      <c r="C13" s="4"/>
      <c r="D13" s="17" t="s">
        <v>98</v>
      </c>
      <c r="E13" s="49">
        <f>SUMIFS(D18:D57,A18:A57,D13)</f>
        <v>667.02</v>
      </c>
      <c r="F13" s="49">
        <f>SUMIFS(E18:E57,A18:A57,D13)</f>
        <v>74.14</v>
      </c>
      <c r="G13" s="49">
        <f>SUMIFS(F18:F57,A18:A57,D13)</f>
        <v>54.36</v>
      </c>
      <c r="H13" s="49">
        <f>SUMIFS(G18:G57,A18:A57,D13)</f>
        <v>15.61</v>
      </c>
      <c r="I13" s="4"/>
      <c r="J13" s="1"/>
    </row>
    <row r="14" spans="1:16" x14ac:dyDescent="0.2">
      <c r="A14" s="4"/>
      <c r="B14" s="4"/>
      <c r="C14" s="4"/>
      <c r="D14" s="15" t="s">
        <v>99</v>
      </c>
      <c r="E14" s="48">
        <f>SUMIFS(D18:D57,A18:A57,D14)</f>
        <v>430.15000000000003</v>
      </c>
      <c r="F14" s="48">
        <f>SUMIFS(E18:E57,A18:A57,D14)</f>
        <v>68.715000000000003</v>
      </c>
      <c r="G14" s="48">
        <f>SUMIFS(F18:F57,A18:A57,D14)</f>
        <v>29.535999999999998</v>
      </c>
      <c r="H14" s="48">
        <f>SUMIFS(G18:G57,A18:A57,D14)</f>
        <v>3.6360000000000001</v>
      </c>
      <c r="I14" s="4"/>
      <c r="J14" s="1"/>
    </row>
    <row r="15" spans="1:16" x14ac:dyDescent="0.2">
      <c r="A15" s="4"/>
      <c r="B15" s="4"/>
      <c r="C15" s="4"/>
      <c r="D15" s="29" t="s">
        <v>100</v>
      </c>
      <c r="E15" s="50">
        <f>SUMIFS(D18:D57,A18:A57,D15)</f>
        <v>655.01921052631587</v>
      </c>
      <c r="F15" s="50">
        <f>SUMIFS(E18:E57,A18:A57,D15)</f>
        <v>79.687192982456153</v>
      </c>
      <c r="G15" s="50">
        <f>SUMIFS(F18:F57,A18:A57,D15)</f>
        <v>50.796710526315785</v>
      </c>
      <c r="H15" s="50">
        <f>SUMIFS(G18:G57,A18:A57,D15)</f>
        <v>9.5343421052631605</v>
      </c>
      <c r="I15" s="4"/>
      <c r="J15" s="1"/>
    </row>
    <row r="16" spans="1:16" x14ac:dyDescent="0.2">
      <c r="A16" s="4"/>
      <c r="B16" s="4"/>
      <c r="C16" s="4"/>
      <c r="D16" s="4"/>
      <c r="E16" s="4"/>
      <c r="F16" s="4"/>
      <c r="G16" s="4"/>
      <c r="H16" s="4"/>
      <c r="I16" s="4"/>
      <c r="J16" s="1"/>
    </row>
    <row r="17" spans="1:10" ht="16" thickBot="1" x14ac:dyDescent="0.25">
      <c r="A17" s="74" t="s">
        <v>7</v>
      </c>
      <c r="B17" s="75" t="s">
        <v>101</v>
      </c>
      <c r="C17" s="75" t="s">
        <v>102</v>
      </c>
      <c r="D17" s="75" t="s">
        <v>12</v>
      </c>
      <c r="E17" s="75" t="s">
        <v>21</v>
      </c>
      <c r="F17" s="75" t="s">
        <v>19</v>
      </c>
      <c r="G17" s="75" t="s">
        <v>20</v>
      </c>
      <c r="H17" s="75" t="s">
        <v>103</v>
      </c>
      <c r="I17" s="76" t="s">
        <v>104</v>
      </c>
      <c r="J17" s="1"/>
    </row>
    <row r="18" spans="1:10" x14ac:dyDescent="0.2">
      <c r="A18" s="77" t="s">
        <v>97</v>
      </c>
      <c r="B18" s="78" t="s">
        <v>130</v>
      </c>
      <c r="C18" s="79">
        <v>120</v>
      </c>
      <c r="D18" s="80" cm="1">
        <f t="array" ref="D18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433.2</v>
      </c>
      <c r="E18" s="80" cm="1">
        <f t="array" ref="E18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65.160000000000011</v>
      </c>
      <c r="F18" s="80" cm="1">
        <f t="array" ref="F18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16.8</v>
      </c>
      <c r="G18" s="80" cm="1">
        <f t="array" ref="G18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8.1600000000000019</v>
      </c>
      <c r="H18" s="81"/>
      <c r="I18" s="82" t="str" cm="1">
        <f t="array" ref="I18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>Food Library /100g</v>
      </c>
      <c r="J18" s="1"/>
    </row>
    <row r="19" spans="1:10" x14ac:dyDescent="0.2">
      <c r="A19" s="83" t="s">
        <v>97</v>
      </c>
      <c r="B19" s="43" t="s">
        <v>106</v>
      </c>
      <c r="C19" s="44">
        <v>100</v>
      </c>
      <c r="D19" s="47" cm="1">
        <f t="array" ref="D19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55.625</v>
      </c>
      <c r="E19" s="47" cm="1">
        <f t="array" ref="E19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4</v>
      </c>
      <c r="F19" s="47" cm="1">
        <f t="array" ref="F19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9.3125</v>
      </c>
      <c r="G19" s="47" cm="1">
        <f t="array" ref="G19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0.1875</v>
      </c>
      <c r="H19" s="45"/>
      <c r="I19" s="84" t="str" cm="1">
        <f t="array" ref="I19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>Food Library /100g</v>
      </c>
      <c r="J19" s="1"/>
    </row>
    <row r="20" spans="1:10" x14ac:dyDescent="0.2">
      <c r="A20" s="85" t="s">
        <v>97</v>
      </c>
      <c r="B20" s="43" t="s">
        <v>128</v>
      </c>
      <c r="C20" s="44">
        <v>100</v>
      </c>
      <c r="D20" s="46" cm="1">
        <f t="array" ref="D20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43.26</v>
      </c>
      <c r="E20" s="46" cm="1">
        <f t="array" ref="E20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6.4</v>
      </c>
      <c r="F20" s="46" cm="1">
        <f t="array" ref="F20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1</v>
      </c>
      <c r="G20" s="46" cm="1">
        <f t="array" ref="G20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0.2</v>
      </c>
      <c r="H20" s="45"/>
      <c r="I20" s="86" t="str" cm="1">
        <f t="array" ref="I20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>Food Library /100g</v>
      </c>
      <c r="J20" s="1"/>
    </row>
    <row r="21" spans="1:10" x14ac:dyDescent="0.2">
      <c r="A21" s="83" t="s">
        <v>97</v>
      </c>
      <c r="B21" s="43" t="s">
        <v>107</v>
      </c>
      <c r="C21" s="44">
        <v>30</v>
      </c>
      <c r="D21" s="47" cm="1">
        <f t="array" ref="D21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117.43421052631589</v>
      </c>
      <c r="E21" s="47" cm="1">
        <f t="array" ref="E21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2.9605263157894739</v>
      </c>
      <c r="F21" s="47" cm="1">
        <f t="array" ref="F21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23.684210526315784</v>
      </c>
      <c r="G21" s="47" cm="1">
        <f t="array" ref="G21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0.98684210526315908</v>
      </c>
      <c r="H21" s="45"/>
      <c r="I21" s="84" t="str" cm="1">
        <f t="array" ref="I21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>Food Library /100g</v>
      </c>
      <c r="J21" s="1"/>
    </row>
    <row r="22" spans="1:10" x14ac:dyDescent="0.2">
      <c r="A22" s="85" t="s">
        <v>97</v>
      </c>
      <c r="B22" s="43" t="s">
        <v>108</v>
      </c>
      <c r="C22" s="44">
        <v>5</v>
      </c>
      <c r="D22" s="46" cm="1">
        <f t="array" ref="D22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4.166666666666667</v>
      </c>
      <c r="E22" s="46" cm="1">
        <f t="array" ref="E22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0.83333333333333337</v>
      </c>
      <c r="F22" s="46" cm="1">
        <f t="array" ref="F22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22" s="46" cm="1">
        <f t="array" ref="G22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22" s="45"/>
      <c r="I22" s="86" t="str" cm="1">
        <f t="array" ref="I22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>Food Library custom</v>
      </c>
      <c r="J22" s="1"/>
    </row>
    <row r="23" spans="1:10" x14ac:dyDescent="0.2">
      <c r="A23" s="83" t="s">
        <v>97</v>
      </c>
      <c r="B23" s="43" t="s">
        <v>109</v>
      </c>
      <c r="C23" s="44">
        <v>3</v>
      </c>
      <c r="D23" s="47" cm="1">
        <f t="array" ref="D23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1.3333333333333333</v>
      </c>
      <c r="E23" s="47" cm="1">
        <f t="array" ref="E23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0.33333333333333331</v>
      </c>
      <c r="F23" s="47" cm="1">
        <f t="array" ref="F23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23" s="47" cm="1">
        <f t="array" ref="G23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23" s="45"/>
      <c r="I23" s="84" t="str" cm="1">
        <f t="array" ref="I23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>Food Library custom</v>
      </c>
      <c r="J23" s="1"/>
    </row>
    <row r="24" spans="1:10" x14ac:dyDescent="0.2">
      <c r="A24" s="85" t="s">
        <v>97</v>
      </c>
      <c r="B24" s="43" t="s">
        <v>110</v>
      </c>
      <c r="C24" s="44">
        <v>1</v>
      </c>
      <c r="D24" s="46" cm="1">
        <f t="array" ref="D24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40</v>
      </c>
      <c r="E24" s="46" cm="1">
        <f t="array" ref="E24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4.5999999999999996</v>
      </c>
      <c r="F24" s="46" cm="1">
        <f t="array" ref="F24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1.4</v>
      </c>
      <c r="G24" s="46" cm="1">
        <f t="array" ref="G24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1.6</v>
      </c>
      <c r="H24" s="45"/>
      <c r="I24" s="86" t="str" cm="1">
        <f t="array" ref="I24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>Food Library custom</v>
      </c>
      <c r="J24" s="1"/>
    </row>
    <row r="25" spans="1:10" x14ac:dyDescent="0.2">
      <c r="A25" s="83" t="s">
        <v>97</v>
      </c>
      <c r="B25" s="43"/>
      <c r="C25" s="44"/>
      <c r="D25" s="47" cm="1">
        <f t="array" ref="D25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0</v>
      </c>
      <c r="E25" s="47" cm="1">
        <f t="array" ref="E25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</v>
      </c>
      <c r="F25" s="47" cm="1">
        <f t="array" ref="F25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25" s="47" cm="1">
        <f t="array" ref="G25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25" s="45"/>
      <c r="I25" s="84" t="str" cm="1">
        <f t="array" ref="I25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/>
      </c>
      <c r="J25" s="1"/>
    </row>
    <row r="26" spans="1:10" x14ac:dyDescent="0.2">
      <c r="A26" s="85" t="s">
        <v>97</v>
      </c>
      <c r="B26" s="43"/>
      <c r="C26" s="44"/>
      <c r="D26" s="46" cm="1">
        <f t="array" ref="D26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0</v>
      </c>
      <c r="E26" s="46" cm="1">
        <f t="array" ref="E26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</v>
      </c>
      <c r="F26" s="46" cm="1">
        <f t="array" ref="F26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26" s="46" cm="1">
        <f t="array" ref="G26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26" s="45"/>
      <c r="I26" s="86" t="str" cm="1">
        <f t="array" ref="I26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/>
      </c>
      <c r="J26" s="1"/>
    </row>
    <row r="27" spans="1:10" ht="16" thickBot="1" x14ac:dyDescent="0.25">
      <c r="A27" s="87" t="s">
        <v>97</v>
      </c>
      <c r="B27" s="88"/>
      <c r="C27" s="89"/>
      <c r="D27" s="90" cm="1">
        <f t="array" ref="D27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0</v>
      </c>
      <c r="E27" s="90" cm="1">
        <f t="array" ref="E27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</v>
      </c>
      <c r="F27" s="90" cm="1">
        <f t="array" ref="F27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27" s="90" cm="1">
        <f t="array" ref="G27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27" s="91"/>
      <c r="I27" s="92" t="str" cm="1">
        <f t="array" ref="I27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/>
      </c>
      <c r="J27" s="1"/>
    </row>
    <row r="28" spans="1:10" x14ac:dyDescent="0.2">
      <c r="A28" s="77" t="s">
        <v>98</v>
      </c>
      <c r="B28" s="78" t="s">
        <v>9</v>
      </c>
      <c r="C28" s="79">
        <v>90</v>
      </c>
      <c r="D28" s="80" cm="1">
        <f t="array" ref="D28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324</v>
      </c>
      <c r="E28" s="80" cm="1">
        <f t="array" ref="E28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73.8</v>
      </c>
      <c r="F28" s="80" cm="1">
        <f t="array" ref="F28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5.4</v>
      </c>
      <c r="G28" s="80" cm="1">
        <f t="array" ref="G28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28" s="81"/>
      <c r="I28" s="82" t="str" cm="1">
        <f t="array" ref="I28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>Food Library /100g</v>
      </c>
      <c r="J28" s="1"/>
    </row>
    <row r="29" spans="1:10" x14ac:dyDescent="0.2">
      <c r="A29" s="83" t="s">
        <v>98</v>
      </c>
      <c r="B29" s="43" t="s">
        <v>8</v>
      </c>
      <c r="C29" s="44">
        <v>180</v>
      </c>
      <c r="D29" s="47" cm="1">
        <f t="array" ref="D29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237.6</v>
      </c>
      <c r="E29" s="47" cm="1">
        <f t="array" ref="E29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</v>
      </c>
      <c r="F29" s="47" cm="1">
        <f t="array" ref="F29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32.94</v>
      </c>
      <c r="G29" s="47" cm="1">
        <f t="array" ref="G29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11.7</v>
      </c>
      <c r="H29" s="45"/>
      <c r="I29" s="84" t="str" cm="1">
        <f t="array" ref="I29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>Food Library /100g</v>
      </c>
      <c r="J29" s="1"/>
    </row>
    <row r="30" spans="1:10" x14ac:dyDescent="0.2">
      <c r="A30" s="85" t="s">
        <v>98</v>
      </c>
      <c r="B30" s="43" t="s">
        <v>113</v>
      </c>
      <c r="C30" s="44">
        <v>17</v>
      </c>
      <c r="D30" s="46" cm="1">
        <f t="array" ref="D30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45.9</v>
      </c>
      <c r="E30" s="46" cm="1">
        <f t="array" ref="E30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0.34</v>
      </c>
      <c r="F30" s="46" cm="1">
        <f t="array" ref="F30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2.3800000000000003</v>
      </c>
      <c r="G30" s="46" cm="1">
        <f t="array" ref="G30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3.91</v>
      </c>
      <c r="H30" s="45"/>
      <c r="I30" s="86" t="str" cm="1">
        <f t="array" ref="I30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>Food Library /100g</v>
      </c>
      <c r="J30" s="1"/>
    </row>
    <row r="31" spans="1:10" x14ac:dyDescent="0.2">
      <c r="A31" s="83" t="s">
        <v>98</v>
      </c>
      <c r="B31" s="43" t="s">
        <v>112</v>
      </c>
      <c r="C31" s="44">
        <v>124</v>
      </c>
      <c r="D31" s="46" cm="1">
        <f t="array" ref="D31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59.52</v>
      </c>
      <c r="E31" s="46" cm="1">
        <f t="array" ref="E31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</v>
      </c>
      <c r="F31" s="46" cm="1">
        <f t="array" ref="F31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13.64</v>
      </c>
      <c r="G31" s="46" cm="1">
        <f t="array" ref="G31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31" s="45"/>
      <c r="I31" s="84" t="str" cm="1">
        <f t="array" ref="I31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>Food Library /100g</v>
      </c>
      <c r="J31" s="1"/>
    </row>
    <row r="32" spans="1:10" x14ac:dyDescent="0.2">
      <c r="A32" s="85" t="s">
        <v>98</v>
      </c>
      <c r="B32" s="43"/>
      <c r="C32" s="44"/>
      <c r="D32" s="46" cm="1">
        <f t="array" ref="D32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0</v>
      </c>
      <c r="E32" s="46" cm="1">
        <f t="array" ref="E32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</v>
      </c>
      <c r="F32" s="46" cm="1">
        <f t="array" ref="F32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32" s="46" cm="1">
        <f t="array" ref="G32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32" s="45"/>
      <c r="I32" s="86" t="str" cm="1">
        <f t="array" ref="I32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/>
      </c>
      <c r="J32" s="1"/>
    </row>
    <row r="33" spans="1:10" x14ac:dyDescent="0.2">
      <c r="A33" s="83" t="s">
        <v>98</v>
      </c>
      <c r="B33" s="43"/>
      <c r="C33" s="44"/>
      <c r="D33" s="46" cm="1">
        <f t="array" ref="D33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0</v>
      </c>
      <c r="E33" s="46" cm="1">
        <f t="array" ref="E33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</v>
      </c>
      <c r="F33" s="46" cm="1">
        <f t="array" ref="F33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33" s="46" cm="1">
        <f t="array" ref="G33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33" s="45"/>
      <c r="I33" s="84" t="str" cm="1">
        <f t="array" ref="I33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/>
      </c>
      <c r="J33" s="1"/>
    </row>
    <row r="34" spans="1:10" x14ac:dyDescent="0.2">
      <c r="A34" s="85" t="s">
        <v>98</v>
      </c>
      <c r="B34" s="43"/>
      <c r="C34" s="100"/>
      <c r="D34" s="46" cm="1">
        <f t="array" ref="D34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0</v>
      </c>
      <c r="E34" s="46" cm="1">
        <f t="array" ref="E34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</v>
      </c>
      <c r="F34" s="46" cm="1">
        <f t="array" ref="F34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34" s="46" cm="1">
        <f t="array" ref="G34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34" s="45"/>
      <c r="I34" s="86" t="str" cm="1">
        <f t="array" ref="I34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/>
      </c>
      <c r="J34" s="1"/>
    </row>
    <row r="35" spans="1:10" x14ac:dyDescent="0.2">
      <c r="A35" s="83" t="s">
        <v>98</v>
      </c>
      <c r="B35" s="43"/>
      <c r="C35" s="100"/>
      <c r="D35" s="46" cm="1">
        <f t="array" ref="D35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0</v>
      </c>
      <c r="E35" s="46" cm="1">
        <f t="array" ref="E35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</v>
      </c>
      <c r="F35" s="46" cm="1">
        <f t="array" ref="F35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35" s="46" cm="1">
        <f t="array" ref="G35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35" s="45"/>
      <c r="I35" s="84" t="str" cm="1">
        <f t="array" ref="I35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/>
      </c>
      <c r="J35" s="1"/>
    </row>
    <row r="36" spans="1:10" x14ac:dyDescent="0.2">
      <c r="A36" s="85" t="s">
        <v>98</v>
      </c>
      <c r="B36" s="43"/>
      <c r="C36" s="100"/>
      <c r="D36" s="46" cm="1">
        <f t="array" ref="D36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0</v>
      </c>
      <c r="E36" s="46" cm="1">
        <f t="array" ref="E36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</v>
      </c>
      <c r="F36" s="46" cm="1">
        <f t="array" ref="F36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36" s="46" cm="1">
        <f t="array" ref="G36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36" s="45"/>
      <c r="I36" s="86" t="str" cm="1">
        <f t="array" ref="I36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/>
      </c>
      <c r="J36" s="1"/>
    </row>
    <row r="37" spans="1:10" ht="16" thickBot="1" x14ac:dyDescent="0.25">
      <c r="A37" s="87" t="s">
        <v>98</v>
      </c>
      <c r="B37" s="88"/>
      <c r="C37" s="89"/>
      <c r="D37" s="90" cm="1">
        <f t="array" ref="D37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0</v>
      </c>
      <c r="E37" s="90" cm="1">
        <f t="array" ref="E37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</v>
      </c>
      <c r="F37" s="90" cm="1">
        <f t="array" ref="F37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37" s="90" cm="1">
        <f t="array" ref="G37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37" s="91"/>
      <c r="I37" s="92" t="str" cm="1">
        <f t="array" ref="I37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/>
      </c>
      <c r="J37" s="1"/>
    </row>
    <row r="38" spans="1:10" x14ac:dyDescent="0.2">
      <c r="A38" s="77" t="s">
        <v>99</v>
      </c>
      <c r="B38" s="78" t="s">
        <v>111</v>
      </c>
      <c r="C38" s="79">
        <v>208</v>
      </c>
      <c r="D38" s="80" cm="1">
        <f t="array" ref="D38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264.16000000000003</v>
      </c>
      <c r="E38" s="80" cm="1">
        <f t="array" ref="E38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66.56</v>
      </c>
      <c r="F38" s="80" cm="1">
        <f t="array" ref="F38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2.496</v>
      </c>
      <c r="G38" s="80" cm="1">
        <f t="array" ref="G38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0.41600000000000004</v>
      </c>
      <c r="H38" s="81"/>
      <c r="I38" s="82" t="str" cm="1">
        <f t="array" ref="I38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>Food Library /100g</v>
      </c>
      <c r="J38" s="1"/>
    </row>
    <row r="39" spans="1:10" x14ac:dyDescent="0.2">
      <c r="A39" s="83" t="s">
        <v>99</v>
      </c>
      <c r="B39" s="43" t="s">
        <v>112</v>
      </c>
      <c r="C39" s="44">
        <v>228</v>
      </c>
      <c r="D39" s="47" cm="1">
        <f t="array" ref="D39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109.44</v>
      </c>
      <c r="E39" s="47" cm="1">
        <f t="array" ref="E39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</v>
      </c>
      <c r="F39" s="47" cm="1">
        <f t="array" ref="F39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25.08</v>
      </c>
      <c r="G39" s="47" cm="1">
        <f t="array" ref="G39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39" s="45"/>
      <c r="I39" s="84" t="str" cm="1">
        <f t="array" ref="I39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>Food Library /100g</v>
      </c>
      <c r="J39" s="1"/>
    </row>
    <row r="40" spans="1:10" x14ac:dyDescent="0.2">
      <c r="A40" s="85" t="s">
        <v>99</v>
      </c>
      <c r="B40" s="43" t="s">
        <v>113</v>
      </c>
      <c r="C40" s="44">
        <v>14</v>
      </c>
      <c r="D40" s="46" cm="1">
        <f t="array" ref="D40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37.799999999999997</v>
      </c>
      <c r="E40" s="46" cm="1">
        <f t="array" ref="E40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0.28000000000000003</v>
      </c>
      <c r="F40" s="46" cm="1">
        <f t="array" ref="F40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1.9600000000000002</v>
      </c>
      <c r="G40" s="46" cm="1">
        <f t="array" ref="G40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3.22</v>
      </c>
      <c r="H40" s="45"/>
      <c r="I40" s="86" t="str" cm="1">
        <f t="array" ref="I40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>Food Library /100g</v>
      </c>
      <c r="J40" s="1"/>
    </row>
    <row r="41" spans="1:10" x14ac:dyDescent="0.2">
      <c r="A41" s="83" t="s">
        <v>99</v>
      </c>
      <c r="B41" s="43" t="s">
        <v>114</v>
      </c>
      <c r="C41" s="44">
        <v>30</v>
      </c>
      <c r="D41" s="47" cm="1">
        <f t="array" ref="D41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18.75</v>
      </c>
      <c r="E41" s="47" cm="1">
        <f t="array" ref="E41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1.875</v>
      </c>
      <c r="F41" s="47" cm="1">
        <f t="array" ref="F41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41" s="47" cm="1">
        <f t="array" ref="G41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41" s="45"/>
      <c r="I41" s="84" t="str" cm="1">
        <f t="array" ref="I41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>Food Library custom</v>
      </c>
      <c r="J41" s="1"/>
    </row>
    <row r="42" spans="1:10" x14ac:dyDescent="0.2">
      <c r="A42" s="85" t="s">
        <v>99</v>
      </c>
      <c r="B42" s="43"/>
      <c r="C42" s="44"/>
      <c r="D42" s="46" cm="1">
        <f t="array" ref="D42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0</v>
      </c>
      <c r="E42" s="46" cm="1">
        <f t="array" ref="E42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</v>
      </c>
      <c r="F42" s="46" cm="1">
        <f t="array" ref="F42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42" s="46" cm="1">
        <f t="array" ref="G42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42" s="45"/>
      <c r="I42" s="86" t="str" cm="1">
        <f t="array" ref="I42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/>
      </c>
      <c r="J42" s="1"/>
    </row>
    <row r="43" spans="1:10" x14ac:dyDescent="0.2">
      <c r="A43" s="83" t="s">
        <v>99</v>
      </c>
      <c r="B43" s="43"/>
      <c r="C43" s="44"/>
      <c r="D43" s="47" cm="1">
        <f t="array" ref="D43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0</v>
      </c>
      <c r="E43" s="47" cm="1">
        <f t="array" ref="E43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</v>
      </c>
      <c r="F43" s="47" cm="1">
        <f t="array" ref="F43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43" s="47" cm="1">
        <f t="array" ref="G43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43" s="45"/>
      <c r="I43" s="84" t="str" cm="1">
        <f t="array" ref="I43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/>
      </c>
      <c r="J43" s="1"/>
    </row>
    <row r="44" spans="1:10" x14ac:dyDescent="0.2">
      <c r="A44" s="85" t="s">
        <v>99</v>
      </c>
      <c r="B44" s="43"/>
      <c r="C44" s="44"/>
      <c r="D44" s="46" cm="1">
        <f t="array" ref="D44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0</v>
      </c>
      <c r="E44" s="46" cm="1">
        <f t="array" ref="E44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</v>
      </c>
      <c r="F44" s="46" cm="1">
        <f t="array" ref="F44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44" s="46" cm="1">
        <f t="array" ref="G44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44" s="45"/>
      <c r="I44" s="86" t="str" cm="1">
        <f t="array" ref="I44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/>
      </c>
      <c r="J44" s="1"/>
    </row>
    <row r="45" spans="1:10" x14ac:dyDescent="0.2">
      <c r="A45" s="83" t="s">
        <v>99</v>
      </c>
      <c r="B45" s="43"/>
      <c r="C45" s="44"/>
      <c r="D45" s="47" cm="1">
        <f t="array" ref="D45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0</v>
      </c>
      <c r="E45" s="47" cm="1">
        <f t="array" ref="E45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</v>
      </c>
      <c r="F45" s="47" cm="1">
        <f t="array" ref="F45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45" s="47" cm="1">
        <f t="array" ref="G45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45" s="45"/>
      <c r="I45" s="84" t="str" cm="1">
        <f t="array" ref="I45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/>
      </c>
      <c r="J45" s="1"/>
    </row>
    <row r="46" spans="1:10" x14ac:dyDescent="0.2">
      <c r="A46" s="85" t="s">
        <v>99</v>
      </c>
      <c r="B46" s="43"/>
      <c r="C46" s="44"/>
      <c r="D46" s="46" cm="1">
        <f t="array" ref="D46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0</v>
      </c>
      <c r="E46" s="46" cm="1">
        <f t="array" ref="E46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</v>
      </c>
      <c r="F46" s="46" cm="1">
        <f t="array" ref="F46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46" s="46" cm="1">
        <f t="array" ref="G46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46" s="45"/>
      <c r="I46" s="86" t="str" cm="1">
        <f t="array" ref="I46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/>
      </c>
      <c r="J46" s="1"/>
    </row>
    <row r="47" spans="1:10" ht="16" thickBot="1" x14ac:dyDescent="0.25">
      <c r="A47" s="87" t="s">
        <v>99</v>
      </c>
      <c r="B47" s="88"/>
      <c r="C47" s="89"/>
      <c r="D47" s="90" cm="1">
        <f t="array" ref="D47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0</v>
      </c>
      <c r="E47" s="90" cm="1">
        <f t="array" ref="E47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</v>
      </c>
      <c r="F47" s="90" cm="1">
        <f t="array" ref="F47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47" s="90" cm="1">
        <f t="array" ref="G47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47" s="91"/>
      <c r="I47" s="92" t="str" cm="1">
        <f t="array" ref="I47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/>
      </c>
      <c r="J47" s="1"/>
    </row>
    <row r="48" spans="1:10" x14ac:dyDescent="0.2">
      <c r="A48" s="77" t="s">
        <v>100</v>
      </c>
      <c r="B48" s="122" t="s">
        <v>130</v>
      </c>
      <c r="C48" s="123">
        <v>120</v>
      </c>
      <c r="D48" s="80" cm="1">
        <f t="array" ref="D48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433.2</v>
      </c>
      <c r="E48" s="80" cm="1">
        <f t="array" ref="E48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65.160000000000011</v>
      </c>
      <c r="F48" s="80" cm="1">
        <f t="array" ref="F48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16.8</v>
      </c>
      <c r="G48" s="80" cm="1">
        <f t="array" ref="G48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8.1600000000000019</v>
      </c>
      <c r="H48" s="81"/>
      <c r="I48" s="82" t="str" cm="1">
        <f t="array" ref="I48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>Food Library /100g</v>
      </c>
      <c r="J48" s="1"/>
    </row>
    <row r="49" spans="1:10" x14ac:dyDescent="0.2">
      <c r="A49" s="83" t="s">
        <v>100</v>
      </c>
      <c r="B49" s="43" t="s">
        <v>106</v>
      </c>
      <c r="C49" s="44">
        <v>100</v>
      </c>
      <c r="D49" s="47" cm="1">
        <f t="array" ref="D49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55.625</v>
      </c>
      <c r="E49" s="47" cm="1">
        <f t="array" ref="E49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4</v>
      </c>
      <c r="F49" s="47" cm="1">
        <f t="array" ref="F49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9.3125</v>
      </c>
      <c r="G49" s="47" cm="1">
        <f t="array" ref="G49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0.1875</v>
      </c>
      <c r="H49" s="45"/>
      <c r="I49" s="84" t="str" cm="1">
        <f t="array" ref="I49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>Food Library /100g</v>
      </c>
      <c r="J49" s="1"/>
    </row>
    <row r="50" spans="1:10" x14ac:dyDescent="0.2">
      <c r="A50" s="85" t="s">
        <v>100</v>
      </c>
      <c r="B50" s="43" t="s">
        <v>128</v>
      </c>
      <c r="C50" s="44">
        <v>100</v>
      </c>
      <c r="D50" s="46" cm="1">
        <f t="array" ref="D50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43.26</v>
      </c>
      <c r="E50" s="46" cm="1">
        <f t="array" ref="E50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6.4</v>
      </c>
      <c r="F50" s="46" cm="1">
        <f t="array" ref="F50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1</v>
      </c>
      <c r="G50" s="46" cm="1">
        <f t="array" ref="G50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0.2</v>
      </c>
      <c r="H50" s="45"/>
      <c r="I50" s="86" t="str" cm="1">
        <f t="array" ref="I50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>Food Library /100g</v>
      </c>
      <c r="J50" s="1"/>
    </row>
    <row r="51" spans="1:10" x14ac:dyDescent="0.2">
      <c r="A51" s="83" t="s">
        <v>100</v>
      </c>
      <c r="B51" s="43" t="s">
        <v>107</v>
      </c>
      <c r="C51" s="44">
        <v>30</v>
      </c>
      <c r="D51" s="47" cm="1">
        <f t="array" ref="D51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117.43421052631589</v>
      </c>
      <c r="E51" s="47" cm="1">
        <f t="array" ref="E51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2.9605263157894739</v>
      </c>
      <c r="F51" s="47" cm="1">
        <f t="array" ref="F51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23.684210526315784</v>
      </c>
      <c r="G51" s="47" cm="1">
        <f t="array" ref="G51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0.98684210526315908</v>
      </c>
      <c r="H51" s="45"/>
      <c r="I51" s="84" t="str" cm="1">
        <f t="array" ref="I51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>Food Library /100g</v>
      </c>
      <c r="J51" s="1"/>
    </row>
    <row r="52" spans="1:10" x14ac:dyDescent="0.2">
      <c r="A52" s="85" t="s">
        <v>100</v>
      </c>
      <c r="B52" s="43" t="s">
        <v>108</v>
      </c>
      <c r="C52" s="44">
        <v>5</v>
      </c>
      <c r="D52" s="46" cm="1">
        <f t="array" ref="D52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4.166666666666667</v>
      </c>
      <c r="E52" s="46" cm="1">
        <f t="array" ref="E52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0.83333333333333337</v>
      </c>
      <c r="F52" s="46" cm="1">
        <f t="array" ref="F52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52" s="46" cm="1">
        <f t="array" ref="G52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52" s="45"/>
      <c r="I52" s="86" t="str" cm="1">
        <f t="array" ref="I52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>Food Library custom</v>
      </c>
      <c r="J52" s="1"/>
    </row>
    <row r="53" spans="1:10" x14ac:dyDescent="0.2">
      <c r="A53" s="83" t="s">
        <v>100</v>
      </c>
      <c r="B53" s="43" t="s">
        <v>109</v>
      </c>
      <c r="C53" s="44">
        <v>3</v>
      </c>
      <c r="D53" s="47" cm="1">
        <f t="array" ref="D53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1.3333333333333333</v>
      </c>
      <c r="E53" s="47" cm="1">
        <f t="array" ref="E53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0.33333333333333331</v>
      </c>
      <c r="F53" s="47" cm="1">
        <f t="array" ref="F53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53" s="47" cm="1">
        <f t="array" ref="G53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53" s="45"/>
      <c r="I53" s="84" t="str" cm="1">
        <f t="array" ref="I53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>Food Library custom</v>
      </c>
      <c r="J53" s="1"/>
    </row>
    <row r="54" spans="1:10" x14ac:dyDescent="0.2">
      <c r="A54" s="85" t="s">
        <v>100</v>
      </c>
      <c r="B54" s="43"/>
      <c r="C54" s="44"/>
      <c r="D54" s="46" cm="1">
        <f t="array" ref="D54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0</v>
      </c>
      <c r="E54" s="46" cm="1">
        <f t="array" ref="E54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</v>
      </c>
      <c r="F54" s="46" cm="1">
        <f t="array" ref="F54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54" s="46" cm="1">
        <f t="array" ref="G54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54" s="45"/>
      <c r="I54" s="86" t="str" cm="1">
        <f t="array" ref="I54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/>
      </c>
      <c r="J54" s="1"/>
    </row>
    <row r="55" spans="1:10" x14ac:dyDescent="0.2">
      <c r="A55" s="83" t="s">
        <v>100</v>
      </c>
      <c r="B55" s="43"/>
      <c r="C55" s="44"/>
      <c r="D55" s="47" cm="1">
        <f t="array" ref="D55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0</v>
      </c>
      <c r="E55" s="47" cm="1">
        <f t="array" ref="E55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</v>
      </c>
      <c r="F55" s="47" cm="1">
        <f t="array" ref="F55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55" s="47" cm="1">
        <f t="array" ref="G55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55" s="45"/>
      <c r="I55" s="84" t="str" cm="1">
        <f t="array" ref="I55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/>
      </c>
      <c r="J55" s="1"/>
    </row>
    <row r="56" spans="1:10" x14ac:dyDescent="0.2">
      <c r="A56" s="85" t="s">
        <v>100</v>
      </c>
      <c r="B56" s="43"/>
      <c r="C56" s="44"/>
      <c r="D56" s="46" cm="1">
        <f t="array" ref="D56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0</v>
      </c>
      <c r="E56" s="46" cm="1">
        <f t="array" ref="E56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</v>
      </c>
      <c r="F56" s="46" cm="1">
        <f t="array" ref="F56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56" s="46" cm="1">
        <f t="array" ref="G56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56" s="45"/>
      <c r="I56" s="86" t="str" cm="1">
        <f t="array" ref="I56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/>
      </c>
      <c r="J56" s="1"/>
    </row>
    <row r="57" spans="1:10" ht="16" thickBot="1" x14ac:dyDescent="0.25">
      <c r="A57" s="87" t="s">
        <v>100</v>
      </c>
      <c r="B57" s="43"/>
      <c r="C57" s="44"/>
      <c r="D57" s="90" cm="1">
        <f t="array" ref="D57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Key],_xlpm.custom,_xlfn.XLOOKUP(_xlpm.food,_xlpm.names,FoodLibrary[Custom],""),_xlpm.base,IFERROR(IF(VALUE(_xlpm.custom)&gt;0,VALUE(_xlpm.custom),100),100),_xlpm.nutrient,_xlfn.XLOOKUP(_xlpm.food,_xlpm.names,FoodLibrary[Calories / 100g],0),IF(OR(_xlpm.food="",_xlpm.g=""),0,IFERROR(_xlpm.g*_xlpm.nutrient/_xlpm.base,0)))</f>
        <v>0</v>
      </c>
      <c r="E57" s="90" cm="1">
        <f t="array" ref="E57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Key],_xlpm.custom,_xlfn.XLOOKUP(_xlpm.food,_xlpm.names,FoodLibrary[Custom],""),_xlpm.base,IFERROR(IF(VALUE(_xlpm.custom)&gt;0,VALUE(_xlpm.custom),100),100),_xlpm.nutrient,_xlfn.XLOOKUP(_xlpm.food,_xlpm.names,FoodLibrary[Carbs / 100g],0),IF(OR(_xlpm.food="",_xlpm.g=""),0,IFERROR(_xlpm.g*_xlpm.nutrient/_xlpm.base,0)))</f>
        <v>0</v>
      </c>
      <c r="F57" s="90" cm="1">
        <f t="array" ref="F57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Key],_xlpm.custom,_xlfn.XLOOKUP(_xlpm.food,_xlpm.names,FoodLibrary[Custom],""),_xlpm.base,IFERROR(IF(VALUE(_xlpm.custom)&gt;0,VALUE(_xlpm.custom),100),100),_xlpm.nutrient,_xlfn.XLOOKUP(_xlpm.food,_xlpm.names,FoodLibrary[Protein / 100g],0),IF(OR(_xlpm.food="",_xlpm.g=""),0,IFERROR(_xlpm.g*_xlpm.nutrient/_xlpm.base,0)))</f>
        <v>0</v>
      </c>
      <c r="G57" s="90" cm="1">
        <f t="array" ref="G57">_xlfn.LET(_xlpm.food,TRIM(DailyIntake[[#This Row],[Food Name]]),_xlpm.g,DailyIntake[[#This Row],[Grams]],_xlpm.names,FoodLibrary[Lookup Key],_xlpm.custom,_xlfn.XLOOKUP(_xlpm.food,_xlpm.names,FoodLibrary[Custom],""),_xlpm.base,IFERROR(IF(VALUE(_xlpm.custom)&gt;0,VALUE(_xlpm.custom),100),100),_xlpm.nutrient,_xlfn.XLOOKUP(_xlpm.food,_xlpm.names,FoodLibrary[Fat / 100g],0),IF(OR(_xlpm.food="",_xlpm.g=""),0,IFERROR(_xlpm.g*_xlpm.nutrient/_xlpm.base,0)))</f>
        <v>0</v>
      </c>
      <c r="H57" s="91"/>
      <c r="I57" s="92" t="str" cm="1">
        <f t="array" ref="I57">_xlfn.LET(_xlpm.food,TRIM(DailyIntake[[#This Row],[Food Name]]),_xlpm.names,FoodLibrary[Lookup Key],_xlpm.custom,_xlfn.XLOOKUP(_xlpm.food,_xlpm.names,FoodLibrary[Custom],""),_xlpm.base,IFERROR(VALUE(_xlpm.custom),0),IF(_xlpm.food="","",IF(_xlpm.base&gt;0,"Food Library custom","Food Library /100g")))</f>
        <v/>
      </c>
      <c r="J57" s="1"/>
    </row>
    <row r="58" spans="1:1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</sheetData>
  <mergeCells count="2">
    <mergeCell ref="A1:I1"/>
    <mergeCell ref="A2:I2"/>
  </mergeCells>
  <phoneticPr fontId="1" type="noConversion"/>
  <dataValidations count="2">
    <dataValidation type="list" allowBlank="1" showInputMessage="1" showErrorMessage="1" sqref="B7" xr:uid="{1C012656-6B6F-40E1-BB90-1DEA9B002923}">
      <formula1>"Cut,Maintenance,Bulk"</formula1>
    </dataValidation>
    <dataValidation type="list" errorStyle="warning" allowBlank="1" showInputMessage="1" showErrorMessage="1" errorTitle="Food not in Food Library" error="Choose a food from Food Library column A, or add it there first." sqref="B18:B57" xr:uid="{54E5AE84-3680-4432-8D61-D51D04FB0E93}">
      <formula1>FoodNameList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EC4F8-E9A9-4A52-BAF3-EC2D0736D58E}">
  <sheetPr codeName="Sheet15"/>
  <dimension ref="A1:G100"/>
  <sheetViews>
    <sheetView showGridLines="0" showRowColHeaders="0" workbookViewId="0">
      <pane ySplit="6" topLeftCell="A72" activePane="bottomLeft" state="frozen"/>
      <selection activeCell="C25" sqref="C25"/>
      <selection pane="bottomLeft" activeCell="C25" sqref="C25"/>
    </sheetView>
  </sheetViews>
  <sheetFormatPr baseColWidth="10" defaultColWidth="8.83203125" defaultRowHeight="15" x14ac:dyDescent="0.2"/>
  <cols>
    <col min="1" max="1" width="27" bestFit="1" customWidth="1"/>
    <col min="2" max="2" width="10.83203125" bestFit="1" customWidth="1"/>
    <col min="3" max="3" width="17.1640625" customWidth="1"/>
    <col min="4" max="4" width="14.83203125" bestFit="1" customWidth="1"/>
    <col min="5" max="5" width="16.1640625" bestFit="1" customWidth="1"/>
    <col min="6" max="6" width="12.1640625" bestFit="1" customWidth="1"/>
    <col min="7" max="7" width="26.83203125" bestFit="1" customWidth="1"/>
  </cols>
  <sheetData>
    <row r="1" spans="1:7" ht="24" x14ac:dyDescent="0.2">
      <c r="A1" s="136" t="s">
        <v>117</v>
      </c>
      <c r="B1" s="136"/>
      <c r="C1" s="136"/>
      <c r="D1" s="136"/>
      <c r="E1" s="136"/>
      <c r="F1" s="136"/>
      <c r="G1" s="1"/>
    </row>
    <row r="2" spans="1:7" ht="14.5" customHeight="1" x14ac:dyDescent="0.2">
      <c r="A2" s="137" t="s">
        <v>118</v>
      </c>
      <c r="B2" s="137"/>
      <c r="C2" s="137"/>
      <c r="D2" s="137"/>
      <c r="E2" s="137"/>
      <c r="F2" s="137"/>
      <c r="G2" s="1"/>
    </row>
    <row r="3" spans="1:7" x14ac:dyDescent="0.2">
      <c r="A3" s="2"/>
      <c r="B3" s="2"/>
      <c r="C3" s="2"/>
      <c r="D3" s="2"/>
      <c r="E3" s="2"/>
      <c r="F3" s="2"/>
      <c r="G3" s="1"/>
    </row>
    <row r="4" spans="1:7" x14ac:dyDescent="0.2">
      <c r="G4" s="1"/>
    </row>
    <row r="5" spans="1:7" x14ac:dyDescent="0.2">
      <c r="G5" s="1"/>
    </row>
    <row r="6" spans="1:7" x14ac:dyDescent="0.2">
      <c r="A6" s="9" t="s">
        <v>101</v>
      </c>
      <c r="B6" s="9" t="s">
        <v>119</v>
      </c>
      <c r="C6" s="10" t="s">
        <v>120</v>
      </c>
      <c r="D6" s="10" t="s">
        <v>121</v>
      </c>
      <c r="E6" s="10" t="s">
        <v>122</v>
      </c>
      <c r="F6" s="11" t="s">
        <v>123</v>
      </c>
      <c r="G6" s="102" t="s">
        <v>124</v>
      </c>
    </row>
    <row r="7" spans="1:7" x14ac:dyDescent="0.2">
      <c r="A7" s="31" t="s">
        <v>105</v>
      </c>
      <c r="B7" s="31"/>
      <c r="C7" s="32">
        <v>383</v>
      </c>
      <c r="D7" s="32">
        <v>57.999999999999993</v>
      </c>
      <c r="E7" s="32">
        <v>12.1</v>
      </c>
      <c r="F7" s="33">
        <v>9</v>
      </c>
      <c r="G7" s="101" t="str">
        <f>IF(FoodLibrary[[#This Row],[Food Name]]="","",TRIM(FoodLibrary[[#This Row],[Food Name]]))</f>
        <v>NTUC Instant Oatmeal</v>
      </c>
    </row>
    <row r="8" spans="1:7" x14ac:dyDescent="0.2">
      <c r="A8" s="34" t="s">
        <v>107</v>
      </c>
      <c r="B8" s="34"/>
      <c r="C8" s="35">
        <v>391.447368421053</v>
      </c>
      <c r="D8" s="35">
        <v>9.8684210526315805</v>
      </c>
      <c r="E8" s="35">
        <v>78.947368421052602</v>
      </c>
      <c r="F8" s="36">
        <v>3.2894736842105301</v>
      </c>
      <c r="G8" s="95" t="str">
        <f>IF(FoodLibrary[[#This Row],[Food Name]]="","",TRIM(FoodLibrary[[#This Row],[Food Name]]))</f>
        <v>Optimum Protein Powder</v>
      </c>
    </row>
    <row r="9" spans="1:7" x14ac:dyDescent="0.2">
      <c r="A9" s="31" t="s">
        <v>106</v>
      </c>
      <c r="B9" s="31"/>
      <c r="C9" s="32">
        <v>55.625</v>
      </c>
      <c r="D9" s="32">
        <v>4</v>
      </c>
      <c r="E9" s="32">
        <v>9.3125</v>
      </c>
      <c r="F9" s="33">
        <v>0.1875</v>
      </c>
      <c r="G9" s="95" t="str">
        <f>IF(FoodLibrary[[#This Row],[Food Name]]="","",TRIM(FoodLibrary[[#This Row],[Food Name]]))</f>
        <v>Chobani Greek</v>
      </c>
    </row>
    <row r="10" spans="1:7" x14ac:dyDescent="0.2">
      <c r="A10" s="34" t="s">
        <v>5</v>
      </c>
      <c r="B10" s="34"/>
      <c r="C10" s="35">
        <v>160.19900497512401</v>
      </c>
      <c r="D10" s="35">
        <v>8.4577114427860707</v>
      </c>
      <c r="E10" s="35">
        <v>1.99004975124378</v>
      </c>
      <c r="F10" s="36">
        <v>14.427860696517399</v>
      </c>
      <c r="G10" s="95" t="str">
        <f>IF(FoodLibrary[[#This Row],[Food Name]]="","",TRIM(FoodLibrary[[#This Row],[Food Name]]))</f>
        <v>Avocado</v>
      </c>
    </row>
    <row r="11" spans="1:7" x14ac:dyDescent="0.2">
      <c r="A11" s="31" t="s">
        <v>6</v>
      </c>
      <c r="B11" s="31"/>
      <c r="C11" s="32">
        <v>32</v>
      </c>
      <c r="D11" s="32">
        <v>7.68</v>
      </c>
      <c r="E11" s="32">
        <v>0.67999999999999994</v>
      </c>
      <c r="F11" s="33">
        <v>0.3</v>
      </c>
      <c r="G11" s="95" t="str">
        <f>IF(FoodLibrary[[#This Row],[Food Name]]="","",TRIM(FoodLibrary[[#This Row],[Food Name]]))</f>
        <v>Strawberry</v>
      </c>
    </row>
    <row r="12" spans="1:7" x14ac:dyDescent="0.2">
      <c r="A12" s="34" t="s">
        <v>10</v>
      </c>
      <c r="B12" s="34"/>
      <c r="C12" s="35">
        <v>349</v>
      </c>
      <c r="D12" s="35">
        <v>78.600000000000009</v>
      </c>
      <c r="E12" s="35">
        <v>5.6000000000000005</v>
      </c>
      <c r="F12" s="36">
        <v>1</v>
      </c>
      <c r="G12" s="95" t="str">
        <f>IF(FoodLibrary[[#This Row],[Food Name]]="","",TRIM(FoodLibrary[[#This Row],[Food Name]]))</f>
        <v>Japanese Rice</v>
      </c>
    </row>
    <row r="13" spans="1:7" x14ac:dyDescent="0.2">
      <c r="A13" s="31" t="s">
        <v>125</v>
      </c>
      <c r="B13" s="31"/>
      <c r="C13" s="32">
        <v>376.64</v>
      </c>
      <c r="D13" s="32">
        <v>70.399999999999991</v>
      </c>
      <c r="E13" s="32">
        <v>6.4</v>
      </c>
      <c r="F13" s="33">
        <v>8</v>
      </c>
      <c r="G13" s="95" t="str">
        <f>IF(FoodLibrary[[#This Row],[Food Name]]="","",TRIM(FoodLibrary[[#This Row],[Food Name]]))</f>
        <v>Rice Cracker</v>
      </c>
    </row>
    <row r="14" spans="1:7" x14ac:dyDescent="0.2">
      <c r="A14" s="34" t="s">
        <v>126</v>
      </c>
      <c r="B14" s="34"/>
      <c r="C14" s="35">
        <v>388</v>
      </c>
      <c r="D14" s="35">
        <v>60.4</v>
      </c>
      <c r="E14" s="35">
        <v>14.499999999999998</v>
      </c>
      <c r="F14" s="36">
        <v>7.7</v>
      </c>
      <c r="G14" s="95" t="str">
        <f>IF(FoodLibrary[[#This Row],[Food Name]]="","",TRIM(FoodLibrary[[#This Row],[Food Name]]))</f>
        <v>Havest Oat</v>
      </c>
    </row>
    <row r="15" spans="1:7" x14ac:dyDescent="0.2">
      <c r="A15" s="31" t="s">
        <v>127</v>
      </c>
      <c r="B15" s="31"/>
      <c r="C15" s="32">
        <v>388</v>
      </c>
      <c r="D15" s="32">
        <v>60.4</v>
      </c>
      <c r="E15" s="32">
        <v>14.499999999999998</v>
      </c>
      <c r="F15" s="33">
        <v>7.7</v>
      </c>
      <c r="G15" s="95" t="str">
        <f>IF(FoodLibrary[[#This Row],[Food Name]]="","",TRIM(FoodLibrary[[#This Row],[Food Name]]))</f>
        <v>NTUC Oat</v>
      </c>
    </row>
    <row r="16" spans="1:7" x14ac:dyDescent="0.2">
      <c r="A16" s="34" t="s">
        <v>128</v>
      </c>
      <c r="B16" s="34"/>
      <c r="C16" s="35">
        <v>43.26</v>
      </c>
      <c r="D16" s="35">
        <v>6.4</v>
      </c>
      <c r="E16" s="35">
        <v>1</v>
      </c>
      <c r="F16" s="36">
        <v>0.2</v>
      </c>
      <c r="G16" s="95" t="str">
        <f>IF(FoodLibrary[[#This Row],[Food Name]]="","",TRIM(FoodLibrary[[#This Row],[Food Name]]))</f>
        <v>Mixed Berries</v>
      </c>
    </row>
    <row r="17" spans="1:7" x14ac:dyDescent="0.2">
      <c r="A17" s="31" t="s">
        <v>129</v>
      </c>
      <c r="B17" s="31"/>
      <c r="C17" s="32">
        <v>50.9677419354839</v>
      </c>
      <c r="D17" s="32">
        <v>12.193548387096801</v>
      </c>
      <c r="E17" s="32">
        <v>0.45161290322580599</v>
      </c>
      <c r="F17" s="33">
        <v>0.64516129032258096</v>
      </c>
      <c r="G17" s="95" t="str">
        <f>IF(FoodLibrary[[#This Row],[Food Name]]="","",TRIM(FoodLibrary[[#This Row],[Food Name]]))</f>
        <v>Blueberry</v>
      </c>
    </row>
    <row r="18" spans="1:7" x14ac:dyDescent="0.2">
      <c r="A18" s="34" t="s">
        <v>112</v>
      </c>
      <c r="B18" s="34"/>
      <c r="C18" s="35">
        <v>48</v>
      </c>
      <c r="D18" s="35">
        <v>0</v>
      </c>
      <c r="E18" s="35">
        <v>11</v>
      </c>
      <c r="F18" s="36">
        <v>0</v>
      </c>
      <c r="G18" s="95" t="str">
        <f>IF(FoodLibrary[[#This Row],[Food Name]]="","",TRIM(FoodLibrary[[#This Row],[Food Name]]))</f>
        <v>Egg White</v>
      </c>
    </row>
    <row r="19" spans="1:7" x14ac:dyDescent="0.2">
      <c r="A19" s="31" t="s">
        <v>113</v>
      </c>
      <c r="B19" s="31"/>
      <c r="C19" s="32">
        <v>270</v>
      </c>
      <c r="D19" s="32">
        <v>2</v>
      </c>
      <c r="E19" s="32">
        <v>14.000000000000002</v>
      </c>
      <c r="F19" s="33">
        <v>23</v>
      </c>
      <c r="G19" s="95" t="str">
        <f>IF(FoodLibrary[[#This Row],[Food Name]]="","",TRIM(FoodLibrary[[#This Row],[Food Name]]))</f>
        <v>Egg Yolk</v>
      </c>
    </row>
    <row r="20" spans="1:7" x14ac:dyDescent="0.2">
      <c r="A20" s="34" t="s">
        <v>130</v>
      </c>
      <c r="B20" s="34"/>
      <c r="C20" s="35">
        <v>361</v>
      </c>
      <c r="D20" s="35">
        <v>54.300000000000004</v>
      </c>
      <c r="E20" s="35">
        <v>14.000000000000002</v>
      </c>
      <c r="F20" s="36">
        <v>6.8000000000000007</v>
      </c>
      <c r="G20" s="95" t="str">
        <f>IF(FoodLibrary[[#This Row],[Food Name]]="","",TRIM(FoodLibrary[[#This Row],[Food Name]]))</f>
        <v>Harraways Oat</v>
      </c>
    </row>
    <row r="21" spans="1:7" x14ac:dyDescent="0.2">
      <c r="A21" s="31" t="s">
        <v>131</v>
      </c>
      <c r="B21" s="31"/>
      <c r="C21" s="32">
        <v>89</v>
      </c>
      <c r="D21" s="32">
        <v>22.8</v>
      </c>
      <c r="E21" s="32">
        <v>1.0999999999999999</v>
      </c>
      <c r="F21" s="33">
        <v>0.3</v>
      </c>
      <c r="G21" s="95" t="str">
        <f>IF(FoodLibrary[[#This Row],[Food Name]]="","",TRIM(FoodLibrary[[#This Row],[Food Name]]))</f>
        <v>Banana</v>
      </c>
    </row>
    <row r="22" spans="1:7" x14ac:dyDescent="0.2">
      <c r="A22" s="34" t="s">
        <v>132</v>
      </c>
      <c r="B22" s="34"/>
      <c r="C22" s="35">
        <v>146.91358024691402</v>
      </c>
      <c r="D22" s="35">
        <v>27.160493827160497</v>
      </c>
      <c r="E22" s="35">
        <v>1.6460905349794199</v>
      </c>
      <c r="F22" s="36">
        <v>5.3497942386831303</v>
      </c>
      <c r="G22" s="95" t="str">
        <f>IF(FoodLibrary[[#This Row],[Food Name]]="","",TRIM(FoodLibrary[[#This Row],[Food Name]]))</f>
        <v>Durian</v>
      </c>
    </row>
    <row r="23" spans="1:7" x14ac:dyDescent="0.2">
      <c r="A23" s="31" t="s">
        <v>9</v>
      </c>
      <c r="B23" s="31"/>
      <c r="C23" s="32">
        <v>360</v>
      </c>
      <c r="D23" s="32">
        <v>82</v>
      </c>
      <c r="E23" s="32">
        <v>6</v>
      </c>
      <c r="F23" s="33">
        <v>0</v>
      </c>
      <c r="G23" s="95" t="str">
        <f>IF(FoodLibrary[[#This Row],[Food Name]]="","",TRIM(FoodLibrary[[#This Row],[Food Name]]))</f>
        <v>White Rice</v>
      </c>
    </row>
    <row r="24" spans="1:7" x14ac:dyDescent="0.2">
      <c r="A24" s="34" t="s">
        <v>115</v>
      </c>
      <c r="B24" s="34"/>
      <c r="C24" s="35">
        <v>301</v>
      </c>
      <c r="D24" s="35">
        <v>66.5</v>
      </c>
      <c r="E24" s="35">
        <v>6.9</v>
      </c>
      <c r="F24" s="36">
        <v>0.8</v>
      </c>
      <c r="G24" s="95" t="str">
        <f>IF(FoodLibrary[[#This Row],[Food Name]]="","",TRIM(FoodLibrary[[#This Row],[Food Name]]))</f>
        <v>White Plus</v>
      </c>
    </row>
    <row r="25" spans="1:7" x14ac:dyDescent="0.2">
      <c r="A25" s="31" t="s">
        <v>8</v>
      </c>
      <c r="B25" s="31"/>
      <c r="C25" s="32">
        <v>132</v>
      </c>
      <c r="D25" s="32">
        <v>0</v>
      </c>
      <c r="E25" s="32">
        <v>18.3</v>
      </c>
      <c r="F25" s="33">
        <v>6.5</v>
      </c>
      <c r="G25" s="95" t="str">
        <f>IF(FoodLibrary[[#This Row],[Food Name]]="","",TRIM(FoodLibrary[[#This Row],[Food Name]]))</f>
        <v>Chicken Breast</v>
      </c>
    </row>
    <row r="26" spans="1:7" x14ac:dyDescent="0.2">
      <c r="A26" s="34" t="s">
        <v>111</v>
      </c>
      <c r="B26" s="34"/>
      <c r="C26" s="35">
        <v>127</v>
      </c>
      <c r="D26" s="35">
        <v>32</v>
      </c>
      <c r="E26" s="35">
        <v>1.2</v>
      </c>
      <c r="F26" s="36">
        <v>0.2</v>
      </c>
      <c r="G26" s="95" t="str">
        <f>IF(FoodLibrary[[#This Row],[Food Name]]="","",TRIM(FoodLibrary[[#This Row],[Food Name]]))</f>
        <v>Sweet Potatoe</v>
      </c>
    </row>
    <row r="27" spans="1:7" x14ac:dyDescent="0.2">
      <c r="A27" s="31" t="s">
        <v>133</v>
      </c>
      <c r="B27" s="31"/>
      <c r="C27" s="32">
        <v>359</v>
      </c>
      <c r="D27" s="32">
        <v>70.899999999999991</v>
      </c>
      <c r="E27" s="32">
        <v>12.8</v>
      </c>
      <c r="F27" s="33">
        <v>2</v>
      </c>
      <c r="G27" s="95" t="str">
        <f>IF(FoodLibrary[[#This Row],[Food Name]]="","",TRIM(FoodLibrary[[#This Row],[Food Name]]))</f>
        <v>Spagetti</v>
      </c>
    </row>
    <row r="28" spans="1:7" x14ac:dyDescent="0.2">
      <c r="A28" s="34" t="s">
        <v>134</v>
      </c>
      <c r="B28" s="34"/>
      <c r="C28" s="35">
        <v>21.032</v>
      </c>
      <c r="D28" s="35">
        <v>4.1000000000000005</v>
      </c>
      <c r="E28" s="35">
        <v>1.0999999999999999</v>
      </c>
      <c r="F28" s="36">
        <v>0</v>
      </c>
      <c r="G28" s="95" t="str">
        <f>IF(FoodLibrary[[#This Row],[Food Name]]="","",TRIM(FoodLibrary[[#This Row],[Food Name]]))</f>
        <v>Spaghetti Sauce</v>
      </c>
    </row>
    <row r="29" spans="1:7" x14ac:dyDescent="0.2">
      <c r="A29" s="31" t="s">
        <v>135</v>
      </c>
      <c r="B29" s="31"/>
      <c r="C29" s="32">
        <v>147.058823529412</v>
      </c>
      <c r="D29" s="32">
        <v>0</v>
      </c>
      <c r="E29" s="32">
        <v>25.882352941176499</v>
      </c>
      <c r="F29" s="33">
        <v>4</v>
      </c>
      <c r="G29" s="95" t="str">
        <f>IF(FoodLibrary[[#This Row],[Food Name]]="","",TRIM(FoodLibrary[[#This Row],[Food Name]]))</f>
        <v>Pork Loin Minced</v>
      </c>
    </row>
    <row r="30" spans="1:7" x14ac:dyDescent="0.2">
      <c r="A30" s="34" t="s">
        <v>136</v>
      </c>
      <c r="B30" s="34"/>
      <c r="C30" s="35">
        <v>461.53846153846098</v>
      </c>
      <c r="D30" s="35">
        <v>38.461538461538503</v>
      </c>
      <c r="E30" s="35">
        <v>46.153846153846203</v>
      </c>
      <c r="F30" s="36">
        <v>11.538461538461501</v>
      </c>
      <c r="G30" s="95" t="str">
        <f>IF(FoodLibrary[[#This Row],[Food Name]]="","",TRIM(FoodLibrary[[#This Row],[Food Name]]))</f>
        <v>Peanut Powder</v>
      </c>
    </row>
    <row r="31" spans="1:7" x14ac:dyDescent="0.2">
      <c r="A31" s="31" t="s">
        <v>137</v>
      </c>
      <c r="B31" s="31"/>
      <c r="C31" s="32">
        <v>260.8</v>
      </c>
      <c r="D31" s="32">
        <v>46.08</v>
      </c>
      <c r="E31" s="32">
        <v>9.120000000000001</v>
      </c>
      <c r="F31" s="33">
        <v>4.32</v>
      </c>
      <c r="G31" s="95" t="str">
        <f>IF(FoodLibrary[[#This Row],[Food Name]]="","",TRIM(FoodLibrary[[#This Row],[Food Name]]))</f>
        <v>Bread Bun</v>
      </c>
    </row>
    <row r="32" spans="1:7" x14ac:dyDescent="0.2">
      <c r="A32" s="34" t="s">
        <v>138</v>
      </c>
      <c r="B32" s="34"/>
      <c r="C32" s="35">
        <v>76.923076923076906</v>
      </c>
      <c r="D32" s="35">
        <v>82.051282051282001</v>
      </c>
      <c r="E32" s="35">
        <v>0</v>
      </c>
      <c r="F32" s="36">
        <v>0</v>
      </c>
      <c r="G32" s="95" t="str">
        <f>IF(FoodLibrary[[#This Row],[Food Name]]="","",TRIM(FoodLibrary[[#This Row],[Food Name]]))</f>
        <v>Honey</v>
      </c>
    </row>
    <row r="33" spans="1:7" x14ac:dyDescent="0.2">
      <c r="A33" s="31" t="s">
        <v>139</v>
      </c>
      <c r="B33" s="31"/>
      <c r="C33" s="32">
        <v>252.727272727273</v>
      </c>
      <c r="D33" s="32">
        <v>45.818181818181799</v>
      </c>
      <c r="E33" s="32">
        <v>10.909090909090899</v>
      </c>
      <c r="F33" s="33">
        <v>2.7272727272727297</v>
      </c>
      <c r="G33" s="95" t="str">
        <f>IF(FoodLibrary[[#This Row],[Food Name]]="","",TRIM(FoodLibrary[[#This Row],[Food Name]]))</f>
        <v>Sunshine Bun</v>
      </c>
    </row>
    <row r="34" spans="1:7" x14ac:dyDescent="0.2">
      <c r="A34" s="34" t="s">
        <v>137</v>
      </c>
      <c r="B34" s="34"/>
      <c r="C34" s="35">
        <v>209.722222222222</v>
      </c>
      <c r="D34" s="35">
        <v>26.9444444444444</v>
      </c>
      <c r="E34" s="35">
        <v>16.1111111111111</v>
      </c>
      <c r="F34" s="36">
        <v>4.1666666666666696</v>
      </c>
      <c r="G34" s="95" t="str">
        <f>IF(FoodLibrary[[#This Row],[Food Name]]="","",TRIM(FoodLibrary[[#This Row],[Food Name]]))</f>
        <v>Bread Bun</v>
      </c>
    </row>
    <row r="35" spans="1:7" x14ac:dyDescent="0.2">
      <c r="A35" s="31" t="s">
        <v>140</v>
      </c>
      <c r="B35" s="31"/>
      <c r="C35" s="32">
        <v>215.51724137931001</v>
      </c>
      <c r="D35" s="32">
        <v>30.862068965517196</v>
      </c>
      <c r="E35" s="32">
        <v>13.7931034482759</v>
      </c>
      <c r="F35" s="33">
        <v>4.1379310344827598</v>
      </c>
      <c r="G35" s="95" t="str">
        <f>IF(FoodLibrary[[#This Row],[Food Name]]="","",TRIM(FoodLibrary[[#This Row],[Food Name]]))</f>
        <v>Gardenia Low GI</v>
      </c>
    </row>
    <row r="36" spans="1:7" x14ac:dyDescent="0.2">
      <c r="A36" s="34" t="s">
        <v>141</v>
      </c>
      <c r="B36" s="34"/>
      <c r="C36" s="35">
        <v>226.38888888888903</v>
      </c>
      <c r="D36" s="35">
        <v>25.694444444444397</v>
      </c>
      <c r="E36" s="35">
        <v>18.1944444444444</v>
      </c>
      <c r="F36" s="36">
        <v>5.6944444444444402</v>
      </c>
      <c r="G36" s="95" t="str">
        <f>IF(FoodLibrary[[#This Row],[Food Name]]="","",TRIM(FoodLibrary[[#This Row],[Food Name]]))</f>
        <v>Sunshine Low</v>
      </c>
    </row>
    <row r="37" spans="1:7" x14ac:dyDescent="0.2">
      <c r="A37" s="31" t="s">
        <v>142</v>
      </c>
      <c r="B37" s="31"/>
      <c r="C37" s="32">
        <v>375</v>
      </c>
      <c r="D37" s="32">
        <v>67.5</v>
      </c>
      <c r="E37" s="32">
        <v>12.5</v>
      </c>
      <c r="F37" s="33">
        <v>7.5</v>
      </c>
      <c r="G37" s="95" t="str">
        <f>IF(FoodLibrary[[#This Row],[Food Name]]="","",TRIM(FoodLibrary[[#This Row],[Food Name]]))</f>
        <v>US-Quacker</v>
      </c>
    </row>
    <row r="38" spans="1:7" x14ac:dyDescent="0.2">
      <c r="A38" s="34" t="s">
        <v>143</v>
      </c>
      <c r="B38" s="34"/>
      <c r="C38" s="35">
        <v>259.25925925925901</v>
      </c>
      <c r="D38" s="35">
        <v>48.148148148148103</v>
      </c>
      <c r="E38" s="35">
        <v>7.4074074074074101</v>
      </c>
      <c r="F38" s="36">
        <v>1.8518518518518501</v>
      </c>
      <c r="G38" s="95" t="str">
        <f>IF(FoodLibrary[[#This Row],[Food Name]]="","",TRIM(FoodLibrary[[#This Row],[Food Name]]))</f>
        <v>US-Bimbo Swi</v>
      </c>
    </row>
    <row r="39" spans="1:7" x14ac:dyDescent="0.2">
      <c r="A39" s="31" t="s">
        <v>144</v>
      </c>
      <c r="B39" s="31"/>
      <c r="C39" s="32">
        <v>47.058823529411796</v>
      </c>
      <c r="D39" s="32">
        <v>6.4705882352941195</v>
      </c>
      <c r="E39" s="32">
        <v>4.7058823529411802</v>
      </c>
      <c r="F39" s="33">
        <v>0</v>
      </c>
      <c r="G39" s="95" t="str">
        <f>IF(FoodLibrary[[#This Row],[Food Name]]="","",TRIM(FoodLibrary[[#This Row],[Food Name]]))</f>
        <v>US-GV Greek</v>
      </c>
    </row>
    <row r="40" spans="1:7" x14ac:dyDescent="0.2">
      <c r="A40" s="34" t="s">
        <v>145</v>
      </c>
      <c r="B40" s="34"/>
      <c r="C40" s="35">
        <v>58.823529411764696</v>
      </c>
      <c r="D40" s="35">
        <v>5.2941176470588198</v>
      </c>
      <c r="E40" s="35">
        <v>10</v>
      </c>
      <c r="F40" s="36">
        <v>0</v>
      </c>
      <c r="G40" s="95" t="str">
        <f>IF(FoodLibrary[[#This Row],[Food Name]]="","",TRIM(FoodLibrary[[#This Row],[Food Name]]))</f>
        <v>US-GV Greek-F</v>
      </c>
    </row>
    <row r="41" spans="1:7" x14ac:dyDescent="0.2">
      <c r="A41" s="31" t="s">
        <v>146</v>
      </c>
      <c r="B41" s="31"/>
      <c r="C41" s="32">
        <v>107.14285714285701</v>
      </c>
      <c r="D41" s="32">
        <v>0</v>
      </c>
      <c r="E41" s="32">
        <v>25</v>
      </c>
      <c r="F41" s="33">
        <v>0.89285714285714302</v>
      </c>
      <c r="G41" s="95" t="str">
        <f>IF(FoodLibrary[[#This Row],[Food Name]]="","",TRIM(FoodLibrary[[#This Row],[Food Name]]))</f>
        <v>US-Turkey 99%</v>
      </c>
    </row>
    <row r="42" spans="1:7" x14ac:dyDescent="0.2">
      <c r="A42" s="34" t="s">
        <v>147</v>
      </c>
      <c r="B42" s="34"/>
      <c r="C42" s="35">
        <v>125</v>
      </c>
      <c r="D42" s="35">
        <v>0</v>
      </c>
      <c r="E42" s="35">
        <v>19.6428571428571</v>
      </c>
      <c r="F42" s="36">
        <v>6.25</v>
      </c>
      <c r="G42" s="95" t="str">
        <f>IF(FoodLibrary[[#This Row],[Food Name]]="","",TRIM(FoodLibrary[[#This Row],[Food Name]]))</f>
        <v>US-Chicken 93%</v>
      </c>
    </row>
    <row r="43" spans="1:7" x14ac:dyDescent="0.2">
      <c r="A43" s="31" t="s">
        <v>148</v>
      </c>
      <c r="B43" s="31"/>
      <c r="C43" s="32">
        <v>250</v>
      </c>
      <c r="D43" s="32">
        <v>48.076923076923102</v>
      </c>
      <c r="E43" s="32">
        <v>9.6153846153846203</v>
      </c>
      <c r="F43" s="33">
        <v>2.8846153846153797</v>
      </c>
      <c r="G43" s="95" t="str">
        <f>IF(FoodLibrary[[#This Row],[Food Name]]="","",TRIM(FoodLibrary[[#This Row],[Food Name]]))</f>
        <v>US-Bimbo Swe</v>
      </c>
    </row>
    <row r="44" spans="1:7" x14ac:dyDescent="0.2">
      <c r="A44" s="34" t="s">
        <v>149</v>
      </c>
      <c r="B44" s="34"/>
      <c r="C44" s="35">
        <v>93.220338983050794</v>
      </c>
      <c r="D44" s="35">
        <v>22.881355932203402</v>
      </c>
      <c r="E44" s="35">
        <v>0.84745762711864403</v>
      </c>
      <c r="F44" s="36">
        <v>0</v>
      </c>
      <c r="G44" s="95" t="str">
        <f>IF(FoodLibrary[[#This Row],[Food Name]]="","",TRIM(FoodLibrary[[#This Row],[Food Name]]))</f>
        <v>US-Banana</v>
      </c>
    </row>
    <row r="45" spans="1:7" x14ac:dyDescent="0.2">
      <c r="A45" s="31" t="s">
        <v>150</v>
      </c>
      <c r="B45" s="31"/>
      <c r="C45" s="32">
        <v>80</v>
      </c>
      <c r="D45" s="32">
        <v>25.714285714285701</v>
      </c>
      <c r="E45" s="32">
        <v>14.285714285714299</v>
      </c>
      <c r="F45" s="33">
        <v>2.8571428571428599</v>
      </c>
      <c r="G45" s="95" t="str">
        <f>IF(FoodLibrary[[#This Row],[Food Name]]="","",TRIM(FoodLibrary[[#This Row],[Food Name]]))</f>
        <v>US-Keto Bread</v>
      </c>
    </row>
    <row r="46" spans="1:7" x14ac:dyDescent="0.2">
      <c r="A46" s="34" t="s">
        <v>151</v>
      </c>
      <c r="B46" s="34"/>
      <c r="C46" s="35">
        <v>350</v>
      </c>
      <c r="D46" s="35">
        <v>65</v>
      </c>
      <c r="E46" s="35">
        <v>15</v>
      </c>
      <c r="F46" s="36">
        <v>6.25</v>
      </c>
      <c r="G46" s="95" t="str">
        <f>IF(FoodLibrary[[#This Row],[Food Name]]="","",TRIM(FoodLibrary[[#This Row],[Food Name]]))</f>
        <v>CA GV Oats</v>
      </c>
    </row>
    <row r="47" spans="1:7" x14ac:dyDescent="0.2">
      <c r="A47" s="31" t="s">
        <v>152</v>
      </c>
      <c r="B47" s="31"/>
      <c r="C47" s="32">
        <v>78.260869565217391</v>
      </c>
      <c r="D47" s="32">
        <v>4.3478260869565206</v>
      </c>
      <c r="E47" s="32">
        <v>7.8260869565217401</v>
      </c>
      <c r="F47" s="33">
        <v>3.9130434782608701</v>
      </c>
      <c r="G47" s="95" t="str">
        <f>IF(FoodLibrary[[#This Row],[Food Name]]="","",TRIM(FoodLibrary[[#This Row],[Food Name]]))</f>
        <v>CA Olympic Greek</v>
      </c>
    </row>
    <row r="48" spans="1:7" x14ac:dyDescent="0.2">
      <c r="A48" s="34" t="s">
        <v>153</v>
      </c>
      <c r="B48" s="34"/>
      <c r="C48" s="35">
        <v>253.968253968254</v>
      </c>
      <c r="D48" s="35">
        <v>49.206349206349195</v>
      </c>
      <c r="E48" s="35">
        <v>9.5238095238095202</v>
      </c>
      <c r="F48" s="36">
        <v>2.38095238095238</v>
      </c>
      <c r="G48" s="95" t="str">
        <f>IF(FoodLibrary[[#This Row],[Food Name]]="","",TRIM(FoodLibrary[[#This Row],[Food Name]]))</f>
        <v>CA GV Bread</v>
      </c>
    </row>
    <row r="49" spans="1:7" x14ac:dyDescent="0.2">
      <c r="A49" s="31" t="s">
        <v>154</v>
      </c>
      <c r="B49" s="31"/>
      <c r="C49" s="32">
        <v>150</v>
      </c>
      <c r="D49" s="32">
        <v>0</v>
      </c>
      <c r="E49" s="32">
        <v>18</v>
      </c>
      <c r="F49" s="33">
        <v>9</v>
      </c>
      <c r="G49" s="95" t="str">
        <f>IF(FoodLibrary[[#This Row],[Food Name]]="","",TRIM(FoodLibrary[[#This Row],[Food Name]]))</f>
        <v>CA Lean Chicken</v>
      </c>
    </row>
    <row r="50" spans="1:7" x14ac:dyDescent="0.2">
      <c r="A50" s="34" t="s">
        <v>155</v>
      </c>
      <c r="B50" s="34"/>
      <c r="C50" s="35">
        <v>220.58823529411802</v>
      </c>
      <c r="D50" s="35">
        <v>26.470588235294102</v>
      </c>
      <c r="E50" s="35">
        <v>19.117647058823501</v>
      </c>
      <c r="F50" s="36">
        <v>10.294117647058799</v>
      </c>
      <c r="G50" s="95" t="str">
        <f>IF(FoodLibrary[[#This Row],[Food Name]]="","",TRIM(FoodLibrary[[#This Row],[Food Name]]))</f>
        <v>CA</v>
      </c>
    </row>
    <row r="51" spans="1:7" x14ac:dyDescent="0.2">
      <c r="A51" s="31" t="s">
        <v>156</v>
      </c>
      <c r="B51" s="31"/>
      <c r="C51" s="32">
        <v>107.14285714285701</v>
      </c>
      <c r="D51" s="32">
        <v>46.428571428571402</v>
      </c>
      <c r="E51" s="32">
        <v>14.285714285714299</v>
      </c>
      <c r="F51" s="33">
        <v>1.78571428571429</v>
      </c>
      <c r="G51" s="95" t="str">
        <f>IF(FoodLibrary[[#This Row],[Food Name]]="","",TRIM(FoodLibrary[[#This Row],[Food Name]]))</f>
        <v>US-Keto Better</v>
      </c>
    </row>
    <row r="52" spans="1:7" x14ac:dyDescent="0.2">
      <c r="A52" s="34" t="s">
        <v>157</v>
      </c>
      <c r="B52" s="34"/>
      <c r="C52" s="35">
        <v>56.000000000000007</v>
      </c>
      <c r="D52" s="35">
        <v>4</v>
      </c>
      <c r="E52" s="35">
        <v>10</v>
      </c>
      <c r="F52" s="36">
        <v>0</v>
      </c>
      <c r="G52" s="95" t="str">
        <f>IF(FoodLibrary[[#This Row],[Food Name]]="","",TRIM(FoodLibrary[[#This Row],[Food Name]]))</f>
        <v>SG-EMI Yogurt</v>
      </c>
    </row>
    <row r="53" spans="1:7" x14ac:dyDescent="0.2">
      <c r="A53" s="37" t="s">
        <v>158</v>
      </c>
      <c r="B53" s="37"/>
      <c r="C53" s="38">
        <v>72.992700729926995</v>
      </c>
      <c r="D53" s="38">
        <v>6</v>
      </c>
      <c r="E53" s="38">
        <v>24</v>
      </c>
      <c r="F53" s="39">
        <v>1</v>
      </c>
      <c r="G53" s="95" t="str">
        <f>IF(FoodLibrary[[#This Row],[Food Name]]="","",TRIM(FoodLibrary[[#This Row],[Food Name]]))</f>
        <v>Scallops</v>
      </c>
    </row>
    <row r="54" spans="1:7" x14ac:dyDescent="0.2">
      <c r="A54" s="37" t="s">
        <v>159</v>
      </c>
      <c r="B54" s="37">
        <v>13</v>
      </c>
      <c r="C54" s="38">
        <v>50</v>
      </c>
      <c r="D54" s="38">
        <v>11</v>
      </c>
      <c r="E54" s="38">
        <v>1</v>
      </c>
      <c r="F54" s="39">
        <v>0</v>
      </c>
      <c r="G54" s="95" t="str">
        <f>IF(FoodLibrary[[#This Row],[Food Name]]="","",TRIM(FoodLibrary[[#This Row],[Food Name]]))</f>
        <v>Rice Cake - Car</v>
      </c>
    </row>
    <row r="55" spans="1:7" x14ac:dyDescent="0.2">
      <c r="A55" s="37" t="s">
        <v>114</v>
      </c>
      <c r="B55" s="1">
        <v>16</v>
      </c>
      <c r="C55" s="38">
        <v>10</v>
      </c>
      <c r="D55" s="38">
        <v>1</v>
      </c>
      <c r="E55" s="38">
        <v>0</v>
      </c>
      <c r="F55" s="39">
        <v>0</v>
      </c>
      <c r="G55" s="95" t="str">
        <f>IF(FoodLibrary[[#This Row],[Food Name]]="","",TRIM(FoodLibrary[[#This Row],[Food Name]]))</f>
        <v>Heinz No Sugar Ketchup</v>
      </c>
    </row>
    <row r="56" spans="1:7" x14ac:dyDescent="0.2">
      <c r="A56" s="37" t="s">
        <v>160</v>
      </c>
      <c r="C56" s="38">
        <v>76</v>
      </c>
      <c r="D56" s="38">
        <v>0</v>
      </c>
      <c r="E56" s="38">
        <v>18</v>
      </c>
      <c r="F56" s="39">
        <v>1</v>
      </c>
      <c r="G56" s="95" t="str">
        <f>IF(FoodLibrary[[#This Row],[Food Name]]="","",TRIM(FoodLibrary[[#This Row],[Food Name]]))</f>
        <v>Prawn</v>
      </c>
    </row>
    <row r="57" spans="1:7" x14ac:dyDescent="0.2">
      <c r="A57" s="37" t="s">
        <v>116</v>
      </c>
      <c r="C57" s="38">
        <v>361</v>
      </c>
      <c r="D57" s="38">
        <v>6</v>
      </c>
      <c r="E57" s="38">
        <v>6</v>
      </c>
      <c r="F57" s="39">
        <v>35.4</v>
      </c>
      <c r="G57" s="95" t="str">
        <f>IF(FoodLibrary[[#This Row],[Food Name]]="","",TRIM(FoodLibrary[[#This Row],[Food Name]]))</f>
        <v>Ma Po To Fu</v>
      </c>
    </row>
    <row r="58" spans="1:7" x14ac:dyDescent="0.2">
      <c r="A58" s="37" t="s">
        <v>161</v>
      </c>
      <c r="B58">
        <v>52</v>
      </c>
      <c r="C58" s="38">
        <v>150</v>
      </c>
      <c r="D58" s="38">
        <v>23</v>
      </c>
      <c r="E58" s="38">
        <v>18</v>
      </c>
      <c r="F58" s="39">
        <v>6</v>
      </c>
      <c r="G58" s="95" t="str">
        <f>IF(FoodLibrary[[#This Row],[Food Name]]="","",TRIM(FoodLibrary[[#This Row],[Food Name]]))</f>
        <v>Quest Cookies</v>
      </c>
    </row>
    <row r="59" spans="1:7" x14ac:dyDescent="0.2">
      <c r="A59" s="37" t="s">
        <v>108</v>
      </c>
      <c r="B59">
        <v>6</v>
      </c>
      <c r="C59" s="38">
        <v>5</v>
      </c>
      <c r="D59" s="38">
        <v>1</v>
      </c>
      <c r="E59" s="38">
        <v>0</v>
      </c>
      <c r="F59" s="39">
        <v>0</v>
      </c>
      <c r="G59" s="95" t="str">
        <f>IF(FoodLibrary[[#This Row],[Food Name]]="","",TRIM(FoodLibrary[[#This Row],[Food Name]]))</f>
        <v>Creatine Blueberry</v>
      </c>
    </row>
    <row r="60" spans="1:7" x14ac:dyDescent="0.2">
      <c r="A60" s="37" t="s">
        <v>109</v>
      </c>
      <c r="B60">
        <v>9</v>
      </c>
      <c r="C60" s="38">
        <v>4</v>
      </c>
      <c r="D60" s="38">
        <v>1</v>
      </c>
      <c r="E60" s="38">
        <v>0</v>
      </c>
      <c r="F60" s="39">
        <v>0</v>
      </c>
      <c r="G60" s="95" t="str">
        <f>IF(FoodLibrary[[#This Row],[Food Name]]="","",TRIM(FoodLibrary[[#This Row],[Food Name]]))</f>
        <v>Optimum Amino/Electrolyde</v>
      </c>
    </row>
    <row r="61" spans="1:7" x14ac:dyDescent="0.2">
      <c r="A61" s="37" t="s">
        <v>162</v>
      </c>
      <c r="B61">
        <v>18</v>
      </c>
      <c r="C61" s="38">
        <v>90</v>
      </c>
      <c r="D61" s="38">
        <v>9</v>
      </c>
      <c r="E61" s="38">
        <v>1</v>
      </c>
      <c r="F61" s="39">
        <v>5</v>
      </c>
      <c r="G61" s="95" t="str">
        <f>IF(FoodLibrary[[#This Row],[Food Name]]="","",TRIM(FoodLibrary[[#This Row],[Food Name]]))</f>
        <v>Golden Curry</v>
      </c>
    </row>
    <row r="62" spans="1:7" x14ac:dyDescent="0.2">
      <c r="A62" s="37" t="s">
        <v>163</v>
      </c>
      <c r="B62">
        <v>148</v>
      </c>
      <c r="C62" s="38">
        <v>110</v>
      </c>
      <c r="D62" s="38">
        <v>26</v>
      </c>
      <c r="E62" s="38">
        <v>2</v>
      </c>
      <c r="F62" s="39">
        <v>0</v>
      </c>
      <c r="G62" s="95" t="str">
        <f>IF(FoodLibrary[[#This Row],[Food Name]]="","",TRIM(FoodLibrary[[#This Row],[Food Name]]))</f>
        <v>Russet Potatoes</v>
      </c>
    </row>
    <row r="63" spans="1:7" x14ac:dyDescent="0.2">
      <c r="A63" s="97" t="s">
        <v>164</v>
      </c>
      <c r="B63">
        <v>30</v>
      </c>
      <c r="C63" s="98">
        <v>10</v>
      </c>
      <c r="D63" s="98">
        <v>4</v>
      </c>
      <c r="E63" s="98">
        <v>0</v>
      </c>
      <c r="F63" s="99"/>
      <c r="G63" s="95" t="str">
        <f>IF(FoodLibrary[[#This Row],[Food Name]]="","",TRIM(FoodLibrary[[#This Row],[Food Name]]))</f>
        <v>Log Cabin Honey</v>
      </c>
    </row>
    <row r="64" spans="1:7" x14ac:dyDescent="0.2">
      <c r="A64" s="97" t="s">
        <v>165</v>
      </c>
      <c r="B64">
        <v>1</v>
      </c>
      <c r="C64" s="98">
        <v>541</v>
      </c>
      <c r="D64" s="98">
        <v>50</v>
      </c>
      <c r="E64" s="98">
        <v>23</v>
      </c>
      <c r="F64" s="99">
        <v>28</v>
      </c>
      <c r="G64" s="95" t="str">
        <f>IF(FoodLibrary[[#This Row],[Food Name]]="","",TRIM(FoodLibrary[[#This Row],[Food Name]]))</f>
        <v>McSpicy</v>
      </c>
    </row>
    <row r="65" spans="1:7" x14ac:dyDescent="0.2">
      <c r="A65" s="94" t="s">
        <v>166</v>
      </c>
      <c r="B65">
        <v>1</v>
      </c>
      <c r="C65" s="95">
        <v>273</v>
      </c>
      <c r="D65" s="95">
        <v>17</v>
      </c>
      <c r="E65" s="95">
        <v>14</v>
      </c>
      <c r="F65" s="96">
        <v>16</v>
      </c>
      <c r="G65" s="95" t="str">
        <f>IF(FoodLibrary[[#This Row],[Food Name]]="","",TRIM(FoodLibrary[[#This Row],[Food Name]]))</f>
        <v>McNuggets</v>
      </c>
    </row>
    <row r="66" spans="1:7" x14ac:dyDescent="0.2">
      <c r="A66" s="97" t="s">
        <v>167</v>
      </c>
      <c r="B66">
        <v>1</v>
      </c>
      <c r="C66" s="98">
        <v>66</v>
      </c>
      <c r="D66" s="98">
        <v>12</v>
      </c>
      <c r="E66" s="98">
        <v>2</v>
      </c>
      <c r="F66" s="99">
        <v>1</v>
      </c>
      <c r="G66" s="95" t="str">
        <f>IF(FoodLibrary[[#This Row],[Food Name]]="","",TRIM(FoodLibrary[[#This Row],[Food Name]]))</f>
        <v>Corn Jr</v>
      </c>
    </row>
    <row r="67" spans="1:7" x14ac:dyDescent="0.2">
      <c r="A67" s="94" t="s">
        <v>168</v>
      </c>
      <c r="B67">
        <v>1</v>
      </c>
      <c r="C67" s="95">
        <v>302</v>
      </c>
      <c r="D67" s="95">
        <v>12</v>
      </c>
      <c r="E67" s="95">
        <v>17</v>
      </c>
      <c r="F67" s="96">
        <v>20</v>
      </c>
      <c r="G67" s="95" t="str">
        <f>IF(FoodLibrary[[#This Row],[Food Name]]="","",TRIM(FoodLibrary[[#This Row],[Food Name]]))</f>
        <v>McWing 2 pc</v>
      </c>
    </row>
    <row r="68" spans="1:7" x14ac:dyDescent="0.2">
      <c r="A68" s="94" t="s">
        <v>169</v>
      </c>
      <c r="B68">
        <v>1</v>
      </c>
      <c r="C68" s="95">
        <v>570</v>
      </c>
      <c r="D68" s="95">
        <v>75</v>
      </c>
      <c r="E68" s="95">
        <v>21</v>
      </c>
      <c r="F68" s="96">
        <v>17</v>
      </c>
      <c r="G68" s="95" t="str">
        <f>IF(FoodLibrary[[#This Row],[Food Name]]="","",TRIM(FoodLibrary[[#This Row],[Food Name]]))</f>
        <v>Mee Rebus</v>
      </c>
    </row>
    <row r="69" spans="1:7" x14ac:dyDescent="0.2">
      <c r="A69" s="97" t="s">
        <v>110</v>
      </c>
      <c r="B69">
        <v>1</v>
      </c>
      <c r="C69" s="98">
        <v>40</v>
      </c>
      <c r="D69" s="98">
        <v>4.5999999999999996</v>
      </c>
      <c r="E69" s="98">
        <v>1.4</v>
      </c>
      <c r="F69" s="99">
        <v>1.6</v>
      </c>
      <c r="G69" s="95" t="str">
        <f>IF(FoodLibrary[[#This Row],[Food Name]]="","",TRIM(FoodLibrary[[#This Row],[Food Name]]))</f>
        <v>Coffee</v>
      </c>
    </row>
    <row r="70" spans="1:7" x14ac:dyDescent="0.2">
      <c r="A70" s="97" t="s">
        <v>170</v>
      </c>
      <c r="C70" s="98">
        <v>58</v>
      </c>
      <c r="D70" s="98">
        <v>1.8</v>
      </c>
      <c r="E70" s="98">
        <v>13.2</v>
      </c>
      <c r="F70" s="99">
        <v>0.4</v>
      </c>
      <c r="G70" s="95" t="str">
        <f>IF(FoodLibrary[[#This Row],[Food Name]]="","",TRIM(FoodLibrary[[#This Row],[Food Name]]))</f>
        <v>Golden Chef Abalone</v>
      </c>
    </row>
    <row r="71" spans="1:7" x14ac:dyDescent="0.2">
      <c r="A71" s="97" t="s">
        <v>171</v>
      </c>
      <c r="B71">
        <v>15</v>
      </c>
      <c r="C71" s="98">
        <v>60</v>
      </c>
      <c r="D71" s="98">
        <v>12</v>
      </c>
      <c r="E71" s="98">
        <v>1</v>
      </c>
      <c r="F71" s="99">
        <v>1</v>
      </c>
      <c r="G71" s="95" t="str">
        <f>IF(FoodLibrary[[#This Row],[Food Name]]="","",TRIM(FoodLibrary[[#This Row],[Food Name]]))</f>
        <v>Rice Cake Choco</v>
      </c>
    </row>
    <row r="72" spans="1:7" x14ac:dyDescent="0.2">
      <c r="A72" s="97" t="s">
        <v>172</v>
      </c>
      <c r="C72" s="98">
        <v>201</v>
      </c>
      <c r="D72" s="98">
        <v>0</v>
      </c>
      <c r="E72" s="98">
        <v>10.199999999999999</v>
      </c>
      <c r="F72" s="99">
        <v>5.45</v>
      </c>
      <c r="G72" s="98" t="str">
        <f>IF(FoodLibrary[[#This Row],[Food Name]]="","",TRIM(FoodLibrary[[#This Row],[Food Name]]))</f>
        <v>Miso</v>
      </c>
    </row>
    <row r="73" spans="1:7" x14ac:dyDescent="0.2">
      <c r="A73" s="94" t="s">
        <v>173</v>
      </c>
      <c r="B73">
        <v>1</v>
      </c>
      <c r="C73" s="95">
        <v>700</v>
      </c>
      <c r="D73" s="95"/>
      <c r="E73" s="95"/>
      <c r="F73" s="96"/>
      <c r="G73" s="95" t="str">
        <f>IF(FoodLibrary[[#This Row],[Food Name]]="","",TRIM(FoodLibrary[[#This Row],[Food Name]]))</f>
        <v>KFC sambal</v>
      </c>
    </row>
    <row r="74" spans="1:7" x14ac:dyDescent="0.2">
      <c r="A74" s="94" t="s">
        <v>174</v>
      </c>
      <c r="B74">
        <v>1</v>
      </c>
      <c r="C74" s="95">
        <v>48</v>
      </c>
      <c r="D74" s="95"/>
      <c r="E74" s="95"/>
      <c r="F74" s="96"/>
      <c r="G74" s="95" t="str">
        <f>IF(FoodLibrary[[#This Row],[Food Name]]="","",TRIM(FoodLibrary[[#This Row],[Food Name]]))</f>
        <v>KFC Corn</v>
      </c>
    </row>
    <row r="75" spans="1:7" x14ac:dyDescent="0.2">
      <c r="A75" s="94" t="s">
        <v>175</v>
      </c>
      <c r="B75">
        <v>1</v>
      </c>
      <c r="C75" s="95">
        <v>51</v>
      </c>
      <c r="D75" s="95"/>
      <c r="E75" s="95"/>
      <c r="F75" s="96"/>
      <c r="G75" s="95" t="str">
        <f>IF(FoodLibrary[[#This Row],[Food Name]]="","",TRIM(FoodLibrary[[#This Row],[Food Name]]))</f>
        <v>KFC Whipped potato</v>
      </c>
    </row>
    <row r="76" spans="1:7" x14ac:dyDescent="0.2">
      <c r="A76" s="94" t="s">
        <v>176</v>
      </c>
      <c r="B76">
        <v>1</v>
      </c>
      <c r="C76" s="95">
        <v>80</v>
      </c>
      <c r="D76" s="95"/>
      <c r="E76" s="95"/>
      <c r="F76" s="96"/>
      <c r="G76" s="95" t="str">
        <f>IF(FoodLibrary[[#This Row],[Food Name]]="","",TRIM(FoodLibrary[[#This Row],[Food Name]]))</f>
        <v>Jumbo Salted egg</v>
      </c>
    </row>
    <row r="77" spans="1:7" x14ac:dyDescent="0.2">
      <c r="A77" s="94" t="s">
        <v>177</v>
      </c>
      <c r="B77">
        <v>1</v>
      </c>
      <c r="C77" s="95">
        <v>300</v>
      </c>
      <c r="D77" s="95"/>
      <c r="E77" s="95"/>
      <c r="F77" s="96"/>
      <c r="G77" s="95" t="str">
        <f>IF(FoodLibrary[[#This Row],[Food Name]]="","",TRIM(FoodLibrary[[#This Row],[Food Name]]))</f>
        <v>Jumbo Pork Rib Moca</v>
      </c>
    </row>
    <row r="78" spans="1:7" x14ac:dyDescent="0.2">
      <c r="A78" s="94" t="s">
        <v>178</v>
      </c>
      <c r="B78">
        <v>1</v>
      </c>
      <c r="C78" s="95">
        <v>300</v>
      </c>
      <c r="D78" s="95"/>
      <c r="E78" s="95"/>
      <c r="F78" s="96"/>
      <c r="G78" s="95" t="str">
        <f>IF(FoodLibrary[[#This Row],[Food Name]]="","",TRIM(FoodLibrary[[#This Row],[Food Name]]))</f>
        <v>Jumbo Black Pepper</v>
      </c>
    </row>
    <row r="79" spans="1:7" x14ac:dyDescent="0.2">
      <c r="A79" s="94" t="s">
        <v>179</v>
      </c>
      <c r="B79">
        <v>1</v>
      </c>
      <c r="C79" s="95">
        <v>135</v>
      </c>
      <c r="D79" s="95"/>
      <c r="E79" s="95"/>
      <c r="F79" s="96"/>
      <c r="G79" s="95" t="str">
        <f>IF(FoodLibrary[[#This Row],[Food Name]]="","",TRIM(FoodLibrary[[#This Row],[Food Name]]))</f>
        <v>Jumbo White rice</v>
      </c>
    </row>
    <row r="80" spans="1:7" x14ac:dyDescent="0.2">
      <c r="A80" s="94" t="s">
        <v>180</v>
      </c>
      <c r="B80">
        <v>1</v>
      </c>
      <c r="C80" s="95">
        <v>1000</v>
      </c>
      <c r="D80" s="95"/>
      <c r="E80" s="95"/>
      <c r="F80" s="96"/>
      <c r="G80" s="95" t="str">
        <f>IF(FoodLibrary[[#This Row],[Food Name]]="","",TRIM(FoodLibrary[[#This Row],[Food Name]]))</f>
        <v>Pork Chop Fried Rice</v>
      </c>
    </row>
    <row r="81" spans="1:7" x14ac:dyDescent="0.2">
      <c r="A81" s="94" t="s">
        <v>181</v>
      </c>
      <c r="B81">
        <v>1</v>
      </c>
      <c r="C81" s="95">
        <v>297</v>
      </c>
      <c r="D81" s="95">
        <v>54.6</v>
      </c>
      <c r="E81" s="95">
        <v>12.1</v>
      </c>
      <c r="F81" s="96">
        <v>3.4</v>
      </c>
      <c r="G81" s="95" t="str">
        <f>IF(FoodLibrary[[#This Row],[Food Name]]="","",TRIM(FoodLibrary[[#This Row],[Food Name]]))</f>
        <v>Ramen Sapporo Green</v>
      </c>
    </row>
    <row r="82" spans="1:7" x14ac:dyDescent="0.2">
      <c r="A82" s="94" t="s">
        <v>182</v>
      </c>
      <c r="B82">
        <v>1</v>
      </c>
      <c r="C82" s="95">
        <v>310</v>
      </c>
      <c r="D82" s="95">
        <v>61</v>
      </c>
      <c r="E82" s="95">
        <v>12</v>
      </c>
      <c r="F82" s="96">
        <v>2.5</v>
      </c>
      <c r="G82" s="95" t="str">
        <f>IF(FoodLibrary[[#This Row],[Food Name]]="","",TRIM(FoodLibrary[[#This Row],[Food Name]]))</f>
        <v>Ramen Sapporo Orange</v>
      </c>
    </row>
    <row r="83" spans="1:7" x14ac:dyDescent="0.2">
      <c r="A83" s="94" t="s">
        <v>183</v>
      </c>
      <c r="B83">
        <v>1</v>
      </c>
      <c r="C83" s="95">
        <v>290</v>
      </c>
      <c r="D83" s="95">
        <v>57</v>
      </c>
      <c r="E83" s="95">
        <v>11</v>
      </c>
      <c r="F83" s="96">
        <v>2</v>
      </c>
      <c r="G83" s="95" t="str">
        <f>IF(FoodLibrary[[#This Row],[Food Name]]="","",TRIM(FoodLibrary[[#This Row],[Food Name]]))</f>
        <v>Ramen Tokyo</v>
      </c>
    </row>
    <row r="84" spans="1:7" x14ac:dyDescent="0.2">
      <c r="A84" s="94" t="s">
        <v>184</v>
      </c>
      <c r="B84">
        <v>1</v>
      </c>
      <c r="C84" s="95">
        <v>335</v>
      </c>
      <c r="D84" s="95">
        <v>58.4</v>
      </c>
      <c r="E84" s="95">
        <v>12.4</v>
      </c>
      <c r="F84" s="96">
        <v>5.7</v>
      </c>
      <c r="G84" s="95" t="str">
        <f>IF(FoodLibrary[[#This Row],[Food Name]]="","",TRIM(FoodLibrary[[#This Row],[Food Name]]))</f>
        <v>Ramen Jiu Zhong</v>
      </c>
    </row>
    <row r="85" spans="1:7" x14ac:dyDescent="0.2">
      <c r="A85" s="94" t="s">
        <v>185</v>
      </c>
      <c r="B85">
        <v>100</v>
      </c>
      <c r="C85" s="95">
        <v>132</v>
      </c>
      <c r="D85" s="95">
        <v>0</v>
      </c>
      <c r="E85" s="95">
        <v>18.3</v>
      </c>
      <c r="F85" s="96">
        <v>6.5</v>
      </c>
      <c r="G85" s="95" t="str">
        <f>IF(FoodLibrary[[#This Row],[Food Name]]="","",TRIM(FoodLibrary[[#This Row],[Food Name]]))</f>
        <v>Minced Chicken Breast</v>
      </c>
    </row>
    <row r="86" spans="1:7" x14ac:dyDescent="0.2">
      <c r="A86" s="94" t="s">
        <v>186</v>
      </c>
      <c r="B86">
        <v>1</v>
      </c>
      <c r="C86" s="95">
        <v>301</v>
      </c>
      <c r="D86" s="95">
        <v>54</v>
      </c>
      <c r="E86" s="95">
        <v>11.9</v>
      </c>
      <c r="F86" s="96">
        <v>4.2</v>
      </c>
      <c r="G86" s="95" t="str">
        <f>IF(FoodLibrary[[#This Row],[Food Name]]="","",TRIM(FoodLibrary[[#This Row],[Food Name]]))</f>
        <v>Ramen Jas</v>
      </c>
    </row>
    <row r="87" spans="1:7" x14ac:dyDescent="0.2">
      <c r="A87" s="94" t="s">
        <v>187</v>
      </c>
      <c r="B87">
        <v>1</v>
      </c>
      <c r="C87" s="95">
        <v>306</v>
      </c>
      <c r="D87" s="95">
        <v>54.7</v>
      </c>
      <c r="E87" s="95">
        <v>10.7</v>
      </c>
      <c r="F87" s="96">
        <v>4.9000000000000004</v>
      </c>
      <c r="G87" s="95" t="str">
        <f>IF(FoodLibrary[[#This Row],[Food Name]]="","",TRIM(FoodLibrary[[#This Row],[Food Name]]))</f>
        <v>Ramen Pua</v>
      </c>
    </row>
    <row r="88" spans="1:7" x14ac:dyDescent="0.2">
      <c r="A88" s="94" t="s">
        <v>188</v>
      </c>
      <c r="B88">
        <v>1</v>
      </c>
      <c r="C88" s="95">
        <v>1281.5</v>
      </c>
      <c r="D88" s="95"/>
      <c r="E88" s="95"/>
      <c r="F88" s="96"/>
      <c r="G88" s="95" t="str">
        <f>IF(FoodLibrary[[#This Row],[Food Name]]="","",TRIM(FoodLibrary[[#This Row],[Food Name]]))</f>
        <v>Din Tai Fung</v>
      </c>
    </row>
    <row r="89" spans="1:7" x14ac:dyDescent="0.2">
      <c r="A89" s="94" t="s">
        <v>189</v>
      </c>
      <c r="B89">
        <v>1</v>
      </c>
      <c r="C89" s="95">
        <v>900</v>
      </c>
      <c r="D89" s="95"/>
      <c r="E89" s="95"/>
      <c r="F89" s="96"/>
      <c r="G89" s="95" t="str">
        <f>IF(FoodLibrary[[#This Row],[Food Name]]="","",TRIM(FoodLibrary[[#This Row],[Food Name]]))</f>
        <v>Song Fa</v>
      </c>
    </row>
    <row r="90" spans="1:7" x14ac:dyDescent="0.2">
      <c r="A90" s="94" t="s">
        <v>190</v>
      </c>
      <c r="B90">
        <v>1</v>
      </c>
      <c r="C90" s="95">
        <v>900</v>
      </c>
      <c r="D90" s="95"/>
      <c r="E90" s="95"/>
      <c r="F90" s="96"/>
      <c r="G90" s="95" t="str">
        <f>IF(FoodLibrary[[#This Row],[Food Name]]="","",TRIM(FoodLibrary[[#This Row],[Food Name]]))</f>
        <v>Home Food</v>
      </c>
    </row>
    <row r="91" spans="1:7" x14ac:dyDescent="0.2">
      <c r="A91" s="94" t="s">
        <v>208</v>
      </c>
      <c r="B91">
        <v>1</v>
      </c>
      <c r="C91" s="95">
        <v>310</v>
      </c>
      <c r="D91" s="95">
        <v>61</v>
      </c>
      <c r="E91" s="95">
        <v>12</v>
      </c>
      <c r="F91" s="96">
        <v>2.5</v>
      </c>
      <c r="G91" s="95" t="str">
        <f>IF(FoodLibrary[[#This Row],[Food Name]]="","",TRIM(FoodLibrary[[#This Row],[Food Name]]))</f>
        <v>Miso Remen</v>
      </c>
    </row>
    <row r="92" spans="1:7" x14ac:dyDescent="0.2">
      <c r="A92" s="94" t="s">
        <v>209</v>
      </c>
      <c r="B92">
        <v>1</v>
      </c>
      <c r="C92" s="95">
        <v>880</v>
      </c>
      <c r="D92" s="95">
        <v>100</v>
      </c>
      <c r="E92" s="95">
        <v>35</v>
      </c>
      <c r="F92" s="96">
        <v>38</v>
      </c>
      <c r="G92" s="95" t="str">
        <f>IF(FoodLibrary[[#This Row],[Food Name]]="","",TRIM(FoodLibrary[[#This Row],[Food Name]]))</f>
        <v>King of fried rice</v>
      </c>
    </row>
    <row r="93" spans="1:7" x14ac:dyDescent="0.2">
      <c r="A93" s="94" t="s">
        <v>210</v>
      </c>
      <c r="B93">
        <v>1</v>
      </c>
      <c r="C93" s="95">
        <v>318</v>
      </c>
      <c r="D93" s="95">
        <v>55.3</v>
      </c>
      <c r="E93" s="95">
        <v>12.3</v>
      </c>
      <c r="F93" s="96">
        <v>5.3</v>
      </c>
      <c r="G93" s="95" t="str">
        <f>IF(FoodLibrary[[#This Row],[Food Name]]="","",TRIM(FoodLibrary[[#This Row],[Food Name]]))</f>
        <v>Ramen Bue</v>
      </c>
    </row>
    <row r="94" spans="1:7" x14ac:dyDescent="0.2">
      <c r="A94" s="94" t="s">
        <v>211</v>
      </c>
      <c r="B94">
        <v>1</v>
      </c>
      <c r="C94" s="95">
        <v>1.31</v>
      </c>
      <c r="D94" s="95">
        <v>0.152</v>
      </c>
      <c r="E94" s="95">
        <v>5.1999999999999998E-2</v>
      </c>
      <c r="F94" s="96">
        <v>5.5E-2</v>
      </c>
      <c r="G94" s="95" t="str">
        <f>IF(FoodLibrary[[#This Row],[Food Name]]="","",TRIM(FoodLibrary[[#This Row],[Food Name]]))</f>
        <v>Shiok Hokkien Mee</v>
      </c>
    </row>
    <row r="95" spans="1:7" x14ac:dyDescent="0.2">
      <c r="A95" s="94"/>
      <c r="C95" s="95"/>
      <c r="D95" s="95"/>
      <c r="E95" s="95"/>
      <c r="F95" s="96"/>
      <c r="G95" s="95" t="str">
        <f>IF(FoodLibrary[[#This Row],[Food Name]]="","",TRIM(FoodLibrary[[#This Row],[Food Name]]))</f>
        <v/>
      </c>
    </row>
    <row r="96" spans="1:7" x14ac:dyDescent="0.2">
      <c r="A96" s="94"/>
      <c r="C96" s="95"/>
      <c r="D96" s="95"/>
      <c r="E96" s="95"/>
      <c r="F96" s="96"/>
      <c r="G96" s="95" t="str">
        <f>IF(FoodLibrary[[#This Row],[Food Name]]="","",TRIM(FoodLibrary[[#This Row],[Food Name]]))</f>
        <v/>
      </c>
    </row>
    <row r="97" spans="1:7" x14ac:dyDescent="0.2">
      <c r="A97" s="94"/>
      <c r="C97" s="95"/>
      <c r="D97" s="95"/>
      <c r="E97" s="95"/>
      <c r="F97" s="96"/>
      <c r="G97" s="95" t="str">
        <f>IF(FoodLibrary[[#This Row],[Food Name]]="","",TRIM(FoodLibrary[[#This Row],[Food Name]]))</f>
        <v/>
      </c>
    </row>
    <row r="98" spans="1:7" x14ac:dyDescent="0.2">
      <c r="A98" s="94"/>
      <c r="C98" s="95"/>
      <c r="D98" s="95"/>
      <c r="E98" s="95"/>
      <c r="F98" s="96"/>
      <c r="G98" s="95" t="str">
        <f>IF(FoodLibrary[[#This Row],[Food Name]]="","",TRIM(FoodLibrary[[#This Row],[Food Name]]))</f>
        <v/>
      </c>
    </row>
    <row r="99" spans="1:7" x14ac:dyDescent="0.2">
      <c r="A99" s="94"/>
      <c r="C99" s="95"/>
      <c r="D99" s="95"/>
      <c r="E99" s="95"/>
      <c r="F99" s="96"/>
      <c r="G99" s="95" t="str">
        <f>IF(FoodLibrary[[#This Row],[Food Name]]="","",TRIM(FoodLibrary[[#This Row],[Food Name]]))</f>
        <v/>
      </c>
    </row>
    <row r="100" spans="1:7" x14ac:dyDescent="0.2">
      <c r="A100" s="97"/>
      <c r="C100" s="98"/>
      <c r="D100" s="98"/>
      <c r="E100" s="98"/>
      <c r="F100" s="99"/>
      <c r="G100" s="98" t="str">
        <f>IF(FoodLibrary[[#This Row],[Food Name]]="","",TRIM(FoodLibrary[[#This Row],[Food Name]]))</f>
        <v/>
      </c>
    </row>
  </sheetData>
  <mergeCells count="2">
    <mergeCell ref="A1:F1"/>
    <mergeCell ref="A2:F2"/>
  </mergeCells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E23E-DD1C-7247-B3C0-765134226854}">
  <dimension ref="A1:R67"/>
  <sheetViews>
    <sheetView showGridLines="0" showRowColHeaders="0" workbookViewId="0">
      <pane ySplit="6" topLeftCell="A7" activePane="bottomLeft" state="frozen"/>
      <selection activeCell="D1" sqref="D1"/>
      <selection pane="bottomLeft" activeCell="E18" sqref="E18"/>
    </sheetView>
  </sheetViews>
  <sheetFormatPr baseColWidth="10" defaultColWidth="8.83203125" defaultRowHeight="15" x14ac:dyDescent="0.2"/>
  <cols>
    <col min="1" max="1" width="7.5" customWidth="1"/>
    <col min="2" max="2" width="14.83203125" customWidth="1"/>
    <col min="3" max="10" width="13" customWidth="1"/>
    <col min="11" max="13" width="14.83203125" customWidth="1"/>
    <col min="14" max="14" width="16.5" customWidth="1"/>
    <col min="15" max="15" width="14.1640625" customWidth="1"/>
    <col min="16" max="17" width="8.6640625" bestFit="1" customWidth="1"/>
  </cols>
  <sheetData>
    <row r="1" spans="1:18" ht="24" x14ac:dyDescent="0.3">
      <c r="A1" s="141" t="s">
        <v>191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06"/>
    </row>
    <row r="2" spans="1:18" ht="14.5" customHeight="1" x14ac:dyDescent="0.2">
      <c r="A2" s="142" t="s">
        <v>192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06"/>
    </row>
    <row r="3" spans="1:18" x14ac:dyDescent="0.2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</row>
    <row r="4" spans="1:18" x14ac:dyDescent="0.2">
      <c r="A4" s="107" t="s">
        <v>16</v>
      </c>
      <c r="B4" s="108">
        <v>46311</v>
      </c>
      <c r="C4" s="108" t="s">
        <v>22</v>
      </c>
      <c r="D4" s="108">
        <v>46370</v>
      </c>
      <c r="E4" s="107" t="s">
        <v>1</v>
      </c>
      <c r="F4" s="109">
        <v>60</v>
      </c>
      <c r="G4" s="109" t="s">
        <v>193</v>
      </c>
      <c r="H4" s="109">
        <f>'Macro Goals'!B16</f>
        <v>2431</v>
      </c>
      <c r="I4" s="109" t="s">
        <v>194</v>
      </c>
      <c r="J4" s="109">
        <f>'Macro Goals'!B18</f>
        <v>2553</v>
      </c>
      <c r="K4" s="109" t="s">
        <v>195</v>
      </c>
      <c r="L4" s="109">
        <f>J4-H4</f>
        <v>122</v>
      </c>
      <c r="M4" s="107" t="s">
        <v>196</v>
      </c>
      <c r="N4" s="110">
        <v>46318</v>
      </c>
      <c r="O4" s="105" t="str">
        <f>IF(COUNTIF(B7:B66,N4)&gt;0,"Matched","No matching date")</f>
        <v>Matched</v>
      </c>
      <c r="P4" s="106"/>
    </row>
    <row r="5" spans="1:18" x14ac:dyDescent="0.2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</row>
    <row r="6" spans="1:18" x14ac:dyDescent="0.2">
      <c r="A6" s="111" t="s">
        <v>197</v>
      </c>
      <c r="B6" s="112" t="s">
        <v>11</v>
      </c>
      <c r="C6" s="112" t="s">
        <v>198</v>
      </c>
      <c r="D6" s="112" t="s">
        <v>199</v>
      </c>
      <c r="E6" s="112" t="s">
        <v>200</v>
      </c>
      <c r="F6" s="112" t="s">
        <v>201</v>
      </c>
      <c r="G6" s="112" t="s">
        <v>12</v>
      </c>
      <c r="H6" s="112" t="s">
        <v>21</v>
      </c>
      <c r="I6" s="112" t="s">
        <v>19</v>
      </c>
      <c r="J6" s="112" t="s">
        <v>20</v>
      </c>
      <c r="K6" s="112" t="s">
        <v>202</v>
      </c>
      <c r="L6" s="112" t="s">
        <v>203</v>
      </c>
      <c r="M6" s="112" t="s">
        <v>204</v>
      </c>
      <c r="N6" s="112" t="s">
        <v>205</v>
      </c>
      <c r="O6" s="113" t="s">
        <v>206</v>
      </c>
      <c r="P6" s="112" t="s">
        <v>0</v>
      </c>
      <c r="Q6" s="112" t="s">
        <v>207</v>
      </c>
      <c r="R6" s="106"/>
    </row>
    <row r="7" spans="1:18" x14ac:dyDescent="0.2">
      <c r="A7" s="114"/>
      <c r="B7" s="115">
        <v>46311</v>
      </c>
      <c r="C7" s="116">
        <v>673.65421052631598</v>
      </c>
      <c r="D7" s="116">
        <v>469.44</v>
      </c>
      <c r="E7" s="116">
        <v>619.35181052631594</v>
      </c>
      <c r="F7" s="116">
        <v>614.14</v>
      </c>
      <c r="G7" s="116">
        <v>2376.5860210526298</v>
      </c>
      <c r="H7" s="116">
        <v>271.35138596491203</v>
      </c>
      <c r="I7" s="116">
        <v>187.40192105263199</v>
      </c>
      <c r="J7" s="116">
        <v>49.1401842105263</v>
      </c>
      <c r="K7" s="116"/>
      <c r="L7" s="116"/>
      <c r="M7" s="116"/>
      <c r="N7" s="116"/>
      <c r="O7" s="117"/>
      <c r="P7" s="128"/>
      <c r="Q7" s="129" t="str">
        <f>IFERROR(('MaintenanceReport20261016(60)'!P7-'MaintenanceReport20261016(60)'!P6)/'MaintenanceReport20261016(60)'!P6,"")</f>
        <v/>
      </c>
      <c r="R7" s="106"/>
    </row>
    <row r="8" spans="1:18" x14ac:dyDescent="0.2">
      <c r="A8" s="118"/>
      <c r="B8" s="119">
        <v>46312</v>
      </c>
      <c r="C8" s="116">
        <v>673.65421052631598</v>
      </c>
      <c r="D8" s="116">
        <v>440.64</v>
      </c>
      <c r="E8" s="116">
        <v>637.40181052631601</v>
      </c>
      <c r="F8" s="116">
        <v>667.33</v>
      </c>
      <c r="G8" s="116">
        <v>2419.0260210526299</v>
      </c>
      <c r="H8" s="116">
        <v>286.33138596491199</v>
      </c>
      <c r="I8" s="116">
        <v>186.128032163743</v>
      </c>
      <c r="J8" s="116">
        <v>46.917739766081901</v>
      </c>
      <c r="K8" s="120"/>
      <c r="L8" s="120"/>
      <c r="M8" s="120"/>
      <c r="N8" s="120"/>
      <c r="O8" s="121"/>
      <c r="P8" s="120"/>
      <c r="Q8" s="130" t="str">
        <f>IFERROR(('MaintenanceReport20261016(60)'!P8-'MaintenanceReport20261016(60)'!P7)/'MaintenanceReport20261016(60)'!P7,"")</f>
        <v/>
      </c>
      <c r="R8" s="106"/>
    </row>
    <row r="9" spans="1:18" x14ac:dyDescent="0.2">
      <c r="A9" s="118"/>
      <c r="B9" s="119">
        <v>46313</v>
      </c>
      <c r="C9" s="120">
        <v>698.93368421052696</v>
      </c>
      <c r="D9" s="120">
        <v>454.77</v>
      </c>
      <c r="E9" s="120">
        <v>637.40181052631601</v>
      </c>
      <c r="F9" s="120">
        <v>635.48</v>
      </c>
      <c r="G9" s="120">
        <v>2426.5854947368398</v>
      </c>
      <c r="H9" s="120">
        <v>291.602070175439</v>
      </c>
      <c r="I9" s="120">
        <v>191.396894736842</v>
      </c>
      <c r="J9" s="120">
        <v>43.4075789473684</v>
      </c>
      <c r="K9" s="120"/>
      <c r="L9" s="120"/>
      <c r="M9" s="120"/>
      <c r="N9" s="120"/>
      <c r="O9" s="121"/>
      <c r="P9" s="120"/>
      <c r="Q9" s="130" t="str">
        <f>IFERROR(('MaintenanceReport20261016(60)'!P9-'MaintenanceReport20261016(60)'!P8)/'MaintenanceReport20261016(60)'!P8,"")</f>
        <v/>
      </c>
      <c r="R9" s="106"/>
    </row>
    <row r="10" spans="1:18" x14ac:dyDescent="0.2">
      <c r="A10" s="118"/>
      <c r="B10" s="119">
        <v>46314</v>
      </c>
      <c r="C10" s="120">
        <v>655.01921052631599</v>
      </c>
      <c r="D10" s="120">
        <v>437.58</v>
      </c>
      <c r="E10" s="120">
        <v>900</v>
      </c>
      <c r="F10" s="120">
        <v>510.61921052631601</v>
      </c>
      <c r="G10" s="120">
        <v>2503.2184210526302</v>
      </c>
      <c r="H10" s="120">
        <v>206.554385964912</v>
      </c>
      <c r="I10" s="120">
        <v>125.50942105263201</v>
      </c>
      <c r="J10" s="120">
        <v>20.674684210526301</v>
      </c>
      <c r="K10" s="120"/>
      <c r="L10" s="120"/>
      <c r="M10" s="120"/>
      <c r="N10" s="120"/>
      <c r="O10" s="121"/>
      <c r="P10" s="120"/>
      <c r="Q10" s="130" t="str">
        <f>IFERROR(('MaintenanceReport20261016(60)'!P10-'MaintenanceReport20261016(60)'!P9)/'MaintenanceReport20261016(60)'!P9,"")</f>
        <v/>
      </c>
      <c r="R10" s="106"/>
    </row>
    <row r="11" spans="1:18" x14ac:dyDescent="0.2">
      <c r="A11" s="118"/>
      <c r="B11" s="119">
        <v>46315</v>
      </c>
      <c r="C11" s="120">
        <v>655.01921052631599</v>
      </c>
      <c r="D11" s="120">
        <v>438.67500000000001</v>
      </c>
      <c r="E11" s="120">
        <v>740.94947368421094</v>
      </c>
      <c r="F11" s="120">
        <v>655.01921052631599</v>
      </c>
      <c r="G11" s="120">
        <v>2489.6628947368399</v>
      </c>
      <c r="H11" s="120">
        <v>305.078070175439</v>
      </c>
      <c r="I11" s="120">
        <v>203.60889473684199</v>
      </c>
      <c r="J11" s="120">
        <v>40.062578947368401</v>
      </c>
      <c r="K11" s="120"/>
      <c r="L11" s="120"/>
      <c r="M11" s="120"/>
      <c r="N11" s="120"/>
      <c r="O11" s="121"/>
      <c r="P11" s="120"/>
      <c r="Q11" s="130" t="str">
        <f>IFERROR(('MaintenanceReport20261016(60)'!P11-'MaintenanceReport20261016(60)'!P10)/'MaintenanceReport20261016(60)'!P10,"")</f>
        <v/>
      </c>
      <c r="R11" s="106"/>
    </row>
    <row r="12" spans="1:18" x14ac:dyDescent="0.2">
      <c r="A12" s="118"/>
      <c r="B12" s="119">
        <v>46316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1"/>
      <c r="P12" s="120"/>
      <c r="Q12" s="130" t="str">
        <f>IFERROR(('MaintenanceReport20261016(60)'!P12-'MaintenanceReport20261016(60)'!P11)/'MaintenanceReport20261016(60)'!P11,"")</f>
        <v/>
      </c>
      <c r="R12" s="106"/>
    </row>
    <row r="13" spans="1:18" x14ac:dyDescent="0.2">
      <c r="A13" s="118"/>
      <c r="B13" s="119">
        <v>46317</v>
      </c>
      <c r="C13" s="120">
        <v>695.01921052631599</v>
      </c>
      <c r="D13" s="120">
        <v>448.06</v>
      </c>
      <c r="E13" s="120">
        <v>655.01921052631599</v>
      </c>
      <c r="F13" s="120">
        <v>655.01921052631599</v>
      </c>
      <c r="G13" s="120">
        <v>2453.1176315789498</v>
      </c>
      <c r="H13" s="120">
        <v>318.241578947368</v>
      </c>
      <c r="I13" s="120">
        <v>183.59413157894701</v>
      </c>
      <c r="J13" s="120">
        <v>34.577026315789503</v>
      </c>
      <c r="K13" s="120"/>
      <c r="L13" s="120"/>
      <c r="M13" s="120"/>
      <c r="N13" s="120"/>
      <c r="O13" s="121"/>
      <c r="P13" s="120"/>
      <c r="Q13" s="130" t="str">
        <f>IFERROR(('MaintenanceReport20261016(60)'!P13-'MaintenanceReport20261016(60)'!P12)/'MaintenanceReport20261016(60)'!P12,"")</f>
        <v/>
      </c>
      <c r="R13" s="106"/>
    </row>
    <row r="14" spans="1:18" x14ac:dyDescent="0.2">
      <c r="A14" s="118"/>
      <c r="B14" s="119">
        <v>46318</v>
      </c>
      <c r="C14" s="120">
        <v>695.01921052631599</v>
      </c>
      <c r="D14" s="120">
        <v>425.5</v>
      </c>
      <c r="E14" s="120">
        <v>655.01921052631599</v>
      </c>
      <c r="F14" s="120">
        <v>655.01921052631599</v>
      </c>
      <c r="G14" s="120">
        <v>2430.5576315789499</v>
      </c>
      <c r="H14" s="120">
        <v>305.00157894736799</v>
      </c>
      <c r="I14" s="120">
        <v>184.120131578947</v>
      </c>
      <c r="J14" s="120">
        <v>36.613026315789497</v>
      </c>
      <c r="K14" s="120"/>
      <c r="L14" s="120"/>
      <c r="M14" s="120"/>
      <c r="N14" s="120"/>
      <c r="O14" s="121"/>
      <c r="P14" s="120"/>
      <c r="Q14" s="130" t="str">
        <f>IFERROR(('MaintenanceReport20261016(60)'!P14-'MaintenanceReport20261016(60)'!P13)/'MaintenanceReport20261016(60)'!P13,"")</f>
        <v/>
      </c>
      <c r="R14" s="106"/>
    </row>
    <row r="15" spans="1:18" x14ac:dyDescent="0.2">
      <c r="A15" s="118"/>
      <c r="B15" s="119">
        <v>46319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1"/>
      <c r="P15" s="120"/>
      <c r="Q15" s="130" t="str">
        <f>IFERROR(('MaintenanceReport20261016(60)'!P15-'MaintenanceReport20261016(60)'!P14)/'MaintenanceReport20261016(60)'!P14,"")</f>
        <v/>
      </c>
      <c r="R15" s="106"/>
    </row>
    <row r="16" spans="1:18" x14ac:dyDescent="0.2">
      <c r="A16" s="118"/>
      <c r="B16" s="119">
        <v>46320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1"/>
      <c r="P16" s="120"/>
      <c r="Q16" s="130" t="str">
        <f>IFERROR(('MaintenanceReport20261016(60)'!P16-'MaintenanceReport20261016(60)'!P15)/'MaintenanceReport20261016(60)'!P15,"")</f>
        <v/>
      </c>
      <c r="R16" s="106"/>
    </row>
    <row r="17" spans="1:18" x14ac:dyDescent="0.2">
      <c r="A17" s="118"/>
      <c r="B17" s="119">
        <v>46321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1"/>
      <c r="P17" s="120"/>
      <c r="Q17" s="130" t="str">
        <f>IFERROR(('MaintenanceReport20261016(60)'!P17-'MaintenanceReport20261016(60)'!P16)/'MaintenanceReport20261016(60)'!P16,"")</f>
        <v/>
      </c>
      <c r="R17" s="106"/>
    </row>
    <row r="18" spans="1:18" x14ac:dyDescent="0.2">
      <c r="A18" s="118"/>
      <c r="B18" s="119">
        <v>46322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1"/>
      <c r="P18" s="120"/>
      <c r="Q18" s="130" t="str">
        <f>IFERROR(('MaintenanceReport20261016(60)'!P18-'MaintenanceReport20261016(60)'!P17)/'MaintenanceReport20261016(60)'!P17,"")</f>
        <v/>
      </c>
      <c r="R18" s="106"/>
    </row>
    <row r="19" spans="1:18" x14ac:dyDescent="0.2">
      <c r="A19" s="118"/>
      <c r="B19" s="119">
        <v>46323</v>
      </c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1"/>
      <c r="P19" s="120"/>
      <c r="Q19" s="130" t="str">
        <f>IFERROR(('MaintenanceReport20261016(60)'!P19-'MaintenanceReport20261016(60)'!P18)/'MaintenanceReport20261016(60)'!P18,"")</f>
        <v/>
      </c>
      <c r="R19" s="106"/>
    </row>
    <row r="20" spans="1:18" x14ac:dyDescent="0.2">
      <c r="A20" s="118"/>
      <c r="B20" s="119">
        <v>46324</v>
      </c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1"/>
      <c r="P20" s="120"/>
      <c r="Q20" s="130" t="str">
        <f>IFERROR(('MaintenanceReport20261016(60)'!P20-'MaintenanceReport20261016(60)'!P19)/'MaintenanceReport20261016(60)'!P19,"")</f>
        <v/>
      </c>
      <c r="R20" s="106"/>
    </row>
    <row r="21" spans="1:18" x14ac:dyDescent="0.2">
      <c r="A21" s="118"/>
      <c r="B21" s="119">
        <v>46325</v>
      </c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1"/>
      <c r="P21" s="120"/>
      <c r="Q21" s="130" t="str">
        <f>IFERROR(('MaintenanceReport20261016(60)'!P21-'MaintenanceReport20261016(60)'!P20)/'MaintenanceReport20261016(60)'!P20,"")</f>
        <v/>
      </c>
      <c r="R21" s="106"/>
    </row>
    <row r="22" spans="1:18" x14ac:dyDescent="0.2">
      <c r="A22" s="118"/>
      <c r="B22" s="119">
        <v>46326</v>
      </c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1"/>
      <c r="P22" s="120"/>
      <c r="Q22" s="130" t="str">
        <f>IFERROR(('MaintenanceReport20261016(60)'!P22-'MaintenanceReport20261016(60)'!P21)/'MaintenanceReport20261016(60)'!P21,"")</f>
        <v/>
      </c>
      <c r="R22" s="106"/>
    </row>
    <row r="23" spans="1:18" x14ac:dyDescent="0.2">
      <c r="A23" s="118"/>
      <c r="B23" s="119">
        <v>46327</v>
      </c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1"/>
      <c r="P23" s="120"/>
      <c r="Q23" s="130" t="str">
        <f>IFERROR(('MaintenanceReport20261016(60)'!P23-'MaintenanceReport20261016(60)'!P22)/'MaintenanceReport20261016(60)'!P22,"")</f>
        <v/>
      </c>
      <c r="R23" s="106"/>
    </row>
    <row r="24" spans="1:18" x14ac:dyDescent="0.2">
      <c r="A24" s="118"/>
      <c r="B24" s="119">
        <v>46328</v>
      </c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1"/>
      <c r="P24" s="120"/>
      <c r="Q24" s="130" t="str">
        <f>IFERROR(('MaintenanceReport20261016(60)'!P24-'MaintenanceReport20261016(60)'!P23)/'MaintenanceReport20261016(60)'!P23,"")</f>
        <v/>
      </c>
      <c r="R24" s="106"/>
    </row>
    <row r="25" spans="1:18" x14ac:dyDescent="0.2">
      <c r="A25" s="118"/>
      <c r="B25" s="119">
        <v>46329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1"/>
      <c r="P25" s="120"/>
      <c r="Q25" s="130" t="str">
        <f>IFERROR(('MaintenanceReport20261016(60)'!P25-'MaintenanceReport20261016(60)'!P24)/'MaintenanceReport20261016(60)'!P24,"")</f>
        <v/>
      </c>
      <c r="R25" s="106"/>
    </row>
    <row r="26" spans="1:18" x14ac:dyDescent="0.2">
      <c r="A26" s="118"/>
      <c r="B26" s="119">
        <v>46330</v>
      </c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1"/>
      <c r="P26" s="120"/>
      <c r="Q26" s="130" t="str">
        <f>IFERROR(('MaintenanceReport20261016(60)'!P26-'MaintenanceReport20261016(60)'!P25)/'MaintenanceReport20261016(60)'!P25,"")</f>
        <v/>
      </c>
      <c r="R26" s="106"/>
    </row>
    <row r="27" spans="1:18" x14ac:dyDescent="0.2">
      <c r="A27" s="118"/>
      <c r="B27" s="119">
        <v>46331</v>
      </c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1"/>
      <c r="P27" s="120"/>
      <c r="Q27" s="130" t="str">
        <f>IFERROR(('MaintenanceReport20261016(60)'!P27-'MaintenanceReport20261016(60)'!P26)/'MaintenanceReport20261016(60)'!P26,"")</f>
        <v/>
      </c>
      <c r="R27" s="106"/>
    </row>
    <row r="28" spans="1:18" x14ac:dyDescent="0.2">
      <c r="A28" s="118"/>
      <c r="B28" s="119">
        <v>46332</v>
      </c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1"/>
      <c r="P28" s="120"/>
      <c r="Q28" s="130" t="str">
        <f>IFERROR(('MaintenanceReport20261016(60)'!P28-'MaintenanceReport20261016(60)'!P27)/'MaintenanceReport20261016(60)'!P27,"")</f>
        <v/>
      </c>
      <c r="R28" s="106"/>
    </row>
    <row r="29" spans="1:18" x14ac:dyDescent="0.2">
      <c r="A29" s="118"/>
      <c r="B29" s="119">
        <v>46333</v>
      </c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1"/>
      <c r="P29" s="120"/>
      <c r="Q29" s="130" t="str">
        <f>IFERROR(('MaintenanceReport20261016(60)'!P29-'MaintenanceReport20261016(60)'!P28)/'MaintenanceReport20261016(60)'!P28,"")</f>
        <v/>
      </c>
      <c r="R29" s="106"/>
    </row>
    <row r="30" spans="1:18" x14ac:dyDescent="0.2">
      <c r="A30" s="118"/>
      <c r="B30" s="119">
        <v>46334</v>
      </c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1"/>
      <c r="P30" s="120"/>
      <c r="Q30" s="130" t="str">
        <f>IFERROR(('MaintenanceReport20261016(60)'!P30-'MaintenanceReport20261016(60)'!P29)/'MaintenanceReport20261016(60)'!P29,"")</f>
        <v/>
      </c>
      <c r="R30" s="106"/>
    </row>
    <row r="31" spans="1:18" x14ac:dyDescent="0.2">
      <c r="A31" s="118"/>
      <c r="B31" s="119">
        <v>46335</v>
      </c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1"/>
      <c r="P31" s="120"/>
      <c r="Q31" s="130" t="str">
        <f>IFERROR(('MaintenanceReport20261016(60)'!P31-'MaintenanceReport20261016(60)'!P30)/'MaintenanceReport20261016(60)'!P30,"")</f>
        <v/>
      </c>
      <c r="R31" s="106"/>
    </row>
    <row r="32" spans="1:18" x14ac:dyDescent="0.2">
      <c r="A32" s="118"/>
      <c r="B32" s="119">
        <v>46336</v>
      </c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1"/>
      <c r="P32" s="120"/>
      <c r="Q32" s="130" t="str">
        <f>IFERROR(('MaintenanceReport20261016(60)'!P32-'MaintenanceReport20261016(60)'!P31)/'MaintenanceReport20261016(60)'!P31,"")</f>
        <v/>
      </c>
      <c r="R32" s="106"/>
    </row>
    <row r="33" spans="1:18" x14ac:dyDescent="0.2">
      <c r="A33" s="118"/>
      <c r="B33" s="119">
        <v>46337</v>
      </c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1"/>
      <c r="P33" s="120"/>
      <c r="Q33" s="130" t="str">
        <f>IFERROR(('MaintenanceReport20261016(60)'!P33-'MaintenanceReport20261016(60)'!P32)/'MaintenanceReport20261016(60)'!P32,"")</f>
        <v/>
      </c>
      <c r="R33" s="106"/>
    </row>
    <row r="34" spans="1:18" x14ac:dyDescent="0.2">
      <c r="A34" s="118"/>
      <c r="B34" s="119">
        <v>46338</v>
      </c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1"/>
      <c r="P34" s="120"/>
      <c r="Q34" s="130" t="str">
        <f>IFERROR(('MaintenanceReport20261016(60)'!P34-'MaintenanceReport20261016(60)'!P33)/'MaintenanceReport20261016(60)'!P33,"")</f>
        <v/>
      </c>
      <c r="R34" s="106"/>
    </row>
    <row r="35" spans="1:18" x14ac:dyDescent="0.2">
      <c r="A35" s="118"/>
      <c r="B35" s="119">
        <v>46339</v>
      </c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1"/>
      <c r="P35" s="120"/>
      <c r="Q35" s="130" t="str">
        <f>IFERROR(('MaintenanceReport20261016(60)'!P35-'MaintenanceReport20261016(60)'!P34)/'MaintenanceReport20261016(60)'!P34,"")</f>
        <v/>
      </c>
      <c r="R35" s="106"/>
    </row>
    <row r="36" spans="1:18" x14ac:dyDescent="0.2">
      <c r="A36" s="118"/>
      <c r="B36" s="119">
        <v>46340</v>
      </c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04"/>
      <c r="N36" s="120"/>
      <c r="O36" s="121"/>
      <c r="P36" s="120"/>
      <c r="Q36" s="130" t="str">
        <f>IFERROR(('MaintenanceReport20261016(60)'!P36-'MaintenanceReport20261016(60)'!P35)/'MaintenanceReport20261016(60)'!P35,"")</f>
        <v/>
      </c>
      <c r="R36" s="106"/>
    </row>
    <row r="37" spans="1:18" x14ac:dyDescent="0.2">
      <c r="A37" s="118"/>
      <c r="B37" s="119">
        <v>46341</v>
      </c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1"/>
      <c r="P37" s="120"/>
      <c r="Q37" s="130" t="str">
        <f>IFERROR(('MaintenanceReport20261016(60)'!P37-'MaintenanceReport20261016(60)'!P36)/'MaintenanceReport20261016(60)'!P36,"")</f>
        <v/>
      </c>
      <c r="R37" s="106"/>
    </row>
    <row r="38" spans="1:18" x14ac:dyDescent="0.2">
      <c r="A38" s="118"/>
      <c r="B38" s="119">
        <v>46342</v>
      </c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1"/>
      <c r="P38" s="120"/>
      <c r="Q38" s="130" t="str">
        <f>IFERROR(('MaintenanceReport20261016(60)'!P38-'MaintenanceReport20261016(60)'!P37)/'MaintenanceReport20261016(60)'!P37,"")</f>
        <v/>
      </c>
      <c r="R38" s="106"/>
    </row>
    <row r="39" spans="1:18" x14ac:dyDescent="0.2">
      <c r="A39" s="118"/>
      <c r="B39" s="119">
        <v>46343</v>
      </c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1"/>
      <c r="P39" s="120"/>
      <c r="Q39" s="130" t="str">
        <f>IFERROR(('MaintenanceReport20261016(60)'!P39-'MaintenanceReport20261016(60)'!P38)/'MaintenanceReport20261016(60)'!P38,"")</f>
        <v/>
      </c>
      <c r="R39" s="106"/>
    </row>
    <row r="40" spans="1:18" x14ac:dyDescent="0.2">
      <c r="A40" s="118"/>
      <c r="B40" s="119">
        <v>46344</v>
      </c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1"/>
      <c r="P40" s="120"/>
      <c r="Q40" s="130" t="str">
        <f>IFERROR(('MaintenanceReport20261016(60)'!P40-'MaintenanceReport20261016(60)'!P39)/'MaintenanceReport20261016(60)'!P39,"")</f>
        <v/>
      </c>
      <c r="R40" s="106"/>
    </row>
    <row r="41" spans="1:18" x14ac:dyDescent="0.2">
      <c r="A41" s="118"/>
      <c r="B41" s="119">
        <v>46345</v>
      </c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1"/>
      <c r="P41" s="120"/>
      <c r="Q41" s="130" t="str">
        <f>IFERROR(('MaintenanceReport20261016(60)'!P41-'MaintenanceReport20261016(60)'!P40)/'MaintenanceReport20261016(60)'!P40,"")</f>
        <v/>
      </c>
      <c r="R41" s="106"/>
    </row>
    <row r="42" spans="1:18" x14ac:dyDescent="0.2">
      <c r="A42" s="118"/>
      <c r="B42" s="119">
        <v>46346</v>
      </c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1"/>
      <c r="P42" s="120"/>
      <c r="Q42" s="130" t="str">
        <f>IFERROR(('MaintenanceReport20261016(60)'!P42-'MaintenanceReport20261016(60)'!P41)/'MaintenanceReport20261016(60)'!P41,"")</f>
        <v/>
      </c>
      <c r="R42" s="106"/>
    </row>
    <row r="43" spans="1:18" x14ac:dyDescent="0.2">
      <c r="A43" s="118"/>
      <c r="B43" s="119">
        <v>46347</v>
      </c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1"/>
      <c r="P43" s="120"/>
      <c r="Q43" s="130" t="str">
        <f>IFERROR(('MaintenanceReport20261016(60)'!P43-'MaintenanceReport20261016(60)'!P42)/'MaintenanceReport20261016(60)'!P42,"")</f>
        <v/>
      </c>
      <c r="R43" s="106"/>
    </row>
    <row r="44" spans="1:18" x14ac:dyDescent="0.2">
      <c r="A44" s="118"/>
      <c r="B44" s="119">
        <v>46348</v>
      </c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1"/>
      <c r="P44" s="120"/>
      <c r="Q44" s="130" t="str">
        <f>IFERROR(('MaintenanceReport20261016(60)'!P44-'MaintenanceReport20261016(60)'!P43)/'MaintenanceReport20261016(60)'!P43,"")</f>
        <v/>
      </c>
      <c r="R44" s="106"/>
    </row>
    <row r="45" spans="1:18" x14ac:dyDescent="0.2">
      <c r="A45" s="118"/>
      <c r="B45" s="119">
        <v>46349</v>
      </c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1"/>
      <c r="P45" s="120"/>
      <c r="Q45" s="130" t="str">
        <f>IFERROR(('MaintenanceReport20261016(60)'!P45-'MaintenanceReport20261016(60)'!P44)/'MaintenanceReport20261016(60)'!P44,"")</f>
        <v/>
      </c>
      <c r="R45" s="106"/>
    </row>
    <row r="46" spans="1:18" x14ac:dyDescent="0.2">
      <c r="A46" s="118"/>
      <c r="B46" s="119">
        <v>46350</v>
      </c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1"/>
      <c r="P46" s="120"/>
      <c r="Q46" s="130" t="str">
        <f>IFERROR(('MaintenanceReport20261016(60)'!P46-'MaintenanceReport20261016(60)'!P45)/'MaintenanceReport20261016(60)'!P45,"")</f>
        <v/>
      </c>
      <c r="R46" s="106"/>
    </row>
    <row r="47" spans="1:18" x14ac:dyDescent="0.2">
      <c r="A47" s="118"/>
      <c r="B47" s="119">
        <v>46351</v>
      </c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1"/>
      <c r="P47" s="120"/>
      <c r="Q47" s="130" t="str">
        <f>IFERROR(('MaintenanceReport20261016(60)'!P47-'MaintenanceReport20261016(60)'!P46)/'MaintenanceReport20261016(60)'!P46,"")</f>
        <v/>
      </c>
      <c r="R47" s="106"/>
    </row>
    <row r="48" spans="1:18" x14ac:dyDescent="0.2">
      <c r="A48" s="118"/>
      <c r="B48" s="119">
        <v>46352</v>
      </c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1"/>
      <c r="P48" s="120"/>
      <c r="Q48" s="130" t="str">
        <f>IFERROR(('MaintenanceReport20261016(60)'!P48-'MaintenanceReport20261016(60)'!P47)/'MaintenanceReport20261016(60)'!P47,"")</f>
        <v/>
      </c>
      <c r="R48" s="106"/>
    </row>
    <row r="49" spans="1:18" x14ac:dyDescent="0.2">
      <c r="A49" s="118"/>
      <c r="B49" s="119">
        <v>46353</v>
      </c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1"/>
      <c r="P49" s="120"/>
      <c r="Q49" s="130" t="str">
        <f>IFERROR(('MaintenanceReport20261016(60)'!P49-'MaintenanceReport20261016(60)'!P48)/'MaintenanceReport20261016(60)'!P48,"")</f>
        <v/>
      </c>
      <c r="R49" s="106"/>
    </row>
    <row r="50" spans="1:18" x14ac:dyDescent="0.2">
      <c r="A50" s="118"/>
      <c r="B50" s="119">
        <v>46354</v>
      </c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1"/>
      <c r="P50" s="120"/>
      <c r="Q50" s="130" t="str">
        <f>IFERROR(('MaintenanceReport20261016(60)'!P50-'MaintenanceReport20261016(60)'!P49)/'MaintenanceReport20261016(60)'!P49,"")</f>
        <v/>
      </c>
      <c r="R50" s="106"/>
    </row>
    <row r="51" spans="1:18" x14ac:dyDescent="0.2">
      <c r="A51" s="118"/>
      <c r="B51" s="119">
        <v>46355</v>
      </c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1"/>
      <c r="P51" s="120"/>
      <c r="Q51" s="130" t="str">
        <f>IFERROR(('MaintenanceReport20261016(60)'!P51-'MaintenanceReport20261016(60)'!P50)/'MaintenanceReport20261016(60)'!P50,"")</f>
        <v/>
      </c>
      <c r="R51" s="106"/>
    </row>
    <row r="52" spans="1:18" x14ac:dyDescent="0.2">
      <c r="A52" s="118"/>
      <c r="B52" s="119">
        <v>46356</v>
      </c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1"/>
      <c r="P52" s="120"/>
      <c r="Q52" s="130" t="str">
        <f>IFERROR(('MaintenanceReport20261016(60)'!P52-'MaintenanceReport20261016(60)'!P51)/'MaintenanceReport20261016(60)'!P51,"")</f>
        <v/>
      </c>
      <c r="R52" s="106"/>
    </row>
    <row r="53" spans="1:18" x14ac:dyDescent="0.2">
      <c r="A53" s="118"/>
      <c r="B53" s="119">
        <v>46357</v>
      </c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1"/>
      <c r="P53" s="120"/>
      <c r="Q53" s="130" t="str">
        <f>IFERROR(('MaintenanceReport20261016(60)'!P53-'MaintenanceReport20261016(60)'!P52)/'MaintenanceReport20261016(60)'!P52,"")</f>
        <v/>
      </c>
      <c r="R53" s="106"/>
    </row>
    <row r="54" spans="1:18" x14ac:dyDescent="0.2">
      <c r="A54" s="118"/>
      <c r="B54" s="119">
        <v>46358</v>
      </c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1"/>
      <c r="P54" s="120"/>
      <c r="Q54" s="130" t="str">
        <f>IFERROR(('MaintenanceReport20261016(60)'!P54-'MaintenanceReport20261016(60)'!P53)/'MaintenanceReport20261016(60)'!P53,"")</f>
        <v/>
      </c>
      <c r="R54" s="106"/>
    </row>
    <row r="55" spans="1:18" x14ac:dyDescent="0.2">
      <c r="A55" s="118"/>
      <c r="B55" s="119">
        <v>46359</v>
      </c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1"/>
      <c r="P55" s="120"/>
      <c r="Q55" s="130" t="str">
        <f>IFERROR(('MaintenanceReport20261016(60)'!P55-'MaintenanceReport20261016(60)'!P54)/'MaintenanceReport20261016(60)'!P54,"")</f>
        <v/>
      </c>
      <c r="R55" s="106"/>
    </row>
    <row r="56" spans="1:18" x14ac:dyDescent="0.2">
      <c r="A56" s="118"/>
      <c r="B56" s="119">
        <v>46360</v>
      </c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1"/>
      <c r="P56" s="120"/>
      <c r="Q56" s="130" t="str">
        <f>IFERROR(('MaintenanceReport20261016(60)'!P56-'MaintenanceReport20261016(60)'!P55)/'MaintenanceReport20261016(60)'!P55,"")</f>
        <v/>
      </c>
      <c r="R56" s="106"/>
    </row>
    <row r="57" spans="1:18" x14ac:dyDescent="0.2">
      <c r="A57" s="118"/>
      <c r="B57" s="119">
        <v>46361</v>
      </c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1"/>
      <c r="P57" s="120"/>
      <c r="Q57" s="130" t="str">
        <f>IFERROR(('MaintenanceReport20261016(60)'!P57-'MaintenanceReport20261016(60)'!P56)/'MaintenanceReport20261016(60)'!P56,"")</f>
        <v/>
      </c>
      <c r="R57" s="106"/>
    </row>
    <row r="58" spans="1:18" x14ac:dyDescent="0.2">
      <c r="A58" s="118"/>
      <c r="B58" s="119">
        <v>46362</v>
      </c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1"/>
      <c r="P58" s="120"/>
      <c r="Q58" s="130" t="str">
        <f>IFERROR(('MaintenanceReport20261016(60)'!P58-'MaintenanceReport20261016(60)'!P57)/'MaintenanceReport20261016(60)'!P57,"")</f>
        <v/>
      </c>
      <c r="R58" s="106"/>
    </row>
    <row r="59" spans="1:18" x14ac:dyDescent="0.2">
      <c r="A59" s="118"/>
      <c r="B59" s="119">
        <v>46363</v>
      </c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1"/>
      <c r="P59" s="120"/>
      <c r="Q59" s="130" t="str">
        <f>IFERROR(('MaintenanceReport20261016(60)'!P59-'MaintenanceReport20261016(60)'!P58)/'MaintenanceReport20261016(60)'!P58,"")</f>
        <v/>
      </c>
      <c r="R59" s="106"/>
    </row>
    <row r="60" spans="1:18" x14ac:dyDescent="0.2">
      <c r="A60" s="118"/>
      <c r="B60" s="119">
        <v>46364</v>
      </c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1"/>
      <c r="P60" s="120"/>
      <c r="Q60" s="130" t="str">
        <f>IFERROR(('MaintenanceReport20261016(60)'!P60-'MaintenanceReport20261016(60)'!P59)/'MaintenanceReport20261016(60)'!P59,"")</f>
        <v/>
      </c>
      <c r="R60" s="106"/>
    </row>
    <row r="61" spans="1:18" x14ac:dyDescent="0.2">
      <c r="A61" s="118"/>
      <c r="B61" s="119">
        <v>46365</v>
      </c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1"/>
      <c r="P61" s="120"/>
      <c r="Q61" s="130" t="str">
        <f>IFERROR(('MaintenanceReport20261016(60)'!P61-'MaintenanceReport20261016(60)'!P60)/'MaintenanceReport20261016(60)'!P60,"")</f>
        <v/>
      </c>
      <c r="R61" s="106"/>
    </row>
    <row r="62" spans="1:18" x14ac:dyDescent="0.2">
      <c r="A62" s="118"/>
      <c r="B62" s="119">
        <v>46366</v>
      </c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1"/>
      <c r="P62" s="120"/>
      <c r="Q62" s="130" t="str">
        <f>IFERROR(('MaintenanceReport20261016(60)'!P62-'MaintenanceReport20261016(60)'!P61)/'MaintenanceReport20261016(60)'!P61,"")</f>
        <v/>
      </c>
      <c r="R62" s="106"/>
    </row>
    <row r="63" spans="1:18" x14ac:dyDescent="0.2">
      <c r="A63" s="118"/>
      <c r="B63" s="119">
        <v>46367</v>
      </c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1"/>
      <c r="P63" s="120"/>
      <c r="Q63" s="130" t="str">
        <f>IFERROR(('MaintenanceReport20261016(60)'!P63-'MaintenanceReport20261016(60)'!P62)/'MaintenanceReport20261016(60)'!P62,"")</f>
        <v/>
      </c>
      <c r="R63" s="106"/>
    </row>
    <row r="64" spans="1:18" x14ac:dyDescent="0.2">
      <c r="A64" s="118"/>
      <c r="B64" s="119">
        <v>46368</v>
      </c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1"/>
      <c r="P64" s="120"/>
      <c r="Q64" s="130" t="str">
        <f>IFERROR(('MaintenanceReport20261016(60)'!P64-'MaintenanceReport20261016(60)'!P63)/'MaintenanceReport20261016(60)'!P63,"")</f>
        <v/>
      </c>
      <c r="R64" s="106"/>
    </row>
    <row r="65" spans="1:18" x14ac:dyDescent="0.2">
      <c r="A65" s="118"/>
      <c r="B65" s="119">
        <v>46369</v>
      </c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1"/>
      <c r="P65" s="120"/>
      <c r="Q65" s="130" t="str">
        <f>IFERROR(('MaintenanceReport20261016(60)'!P65-'MaintenanceReport20261016(60)'!P64)/'MaintenanceReport20261016(60)'!P64,"")</f>
        <v/>
      </c>
      <c r="R65" s="106"/>
    </row>
    <row r="66" spans="1:18" x14ac:dyDescent="0.2">
      <c r="A66" s="124"/>
      <c r="B66" s="125">
        <v>46370</v>
      </c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03"/>
      <c r="N66" s="126"/>
      <c r="O66" s="127"/>
      <c r="P66" s="126"/>
      <c r="Q66" s="131" t="str">
        <f>IFERROR(('MaintenanceReport20261016(60)'!P66-'MaintenanceReport20261016(60)'!P65)/'MaintenanceReport20261016(60)'!P65,"")</f>
        <v/>
      </c>
      <c r="R66" s="106"/>
    </row>
    <row r="67" spans="1:18" x14ac:dyDescent="0.2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</row>
  </sheetData>
  <mergeCells count="2">
    <mergeCell ref="A1:O1"/>
    <mergeCell ref="A2:O2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UEOWM5PKCBQEXRWX5RE3B7VICFVIH7MS:ms-officescript%3A%2F%2Fonedrive_business_sharinglink%2Fu!aHR0cHM6Ly9taWNyb3NvZnRhcGMtbXkuc2hhcmVwb2ludC5jb20vOnU6L2cvcGVyc29uYWwva29odGhvbWFzX21pY3Jvc29mdF9jb20vSVFEcUVHQkx4dGZzU2JELXFCRnFnXzJTQVJqVVhYQll0SjdPdDJfUDdlb3NfTUk"/>
  <scriptId xmlns="" id="ms-officescript%3A%2F%2Fonedrive_business_itemlink%2F01UEOWM5KMRMBWMNJFCBG2XMRWUURITR4X:ms-officescript%3A%2F%2Fonedrive_business_sharinglink%2Fu!aHR0cHM6Ly9taWNyb3NvZnRhcGMtbXkuc2hhcmVwb2ludC5jb20vOnU6L2cvcGVyc29uYWwva29odGhvbWFzX21pY3Jvc29mdF9jb20vSVFCTWl3Tm1OU1VRVGF1eU5xVWlpY2VYQVU3RWktOGRkNktlOHpFd2tIRlAzUGM"/>
</scriptIds>
</file>

<file path=customXml/itemProps1.xml><?xml version="1.0" encoding="utf-8"?>
<ds:datastoreItem xmlns:ds="http://schemas.openxmlformats.org/officeDocument/2006/customXml" ds:itemID="{FF446264-AAD5-428C-9BE0-4FF1E95428CE}">
  <ds:schemaRefs>
    <ds:schemaRef ds:uri="http://schemas.microsoft.com/office/extensibility/maker/v1.0"/>
    <ds:schemaRef ds:uri="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Macro Goals</vt:lpstr>
      <vt:lpstr>Daily Intake</vt:lpstr>
      <vt:lpstr>Food Library</vt:lpstr>
      <vt:lpstr>MaintenanceReport20261016(60)</vt:lpstr>
      <vt:lpstr>'MaintenanceReport20261016(60)'!dd</vt:lpstr>
      <vt:lpstr>dd</vt:lpstr>
      <vt:lpstr>'MaintenanceReport20261016(60)'!FoodList</vt:lpstr>
      <vt:lpstr>FoodList</vt:lpstr>
      <vt:lpstr>'MaintenanceReport20261016(60)'!FoodNameList</vt:lpstr>
      <vt:lpstr>FoodNameList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Koh</dc:creator>
  <cp:keywords/>
  <dc:description/>
  <cp:lastModifiedBy>Thomas Koh</cp:lastModifiedBy>
  <cp:revision/>
  <dcterms:created xsi:type="dcterms:W3CDTF">2024-03-18T14:18:22Z</dcterms:created>
  <dcterms:modified xsi:type="dcterms:W3CDTF">2026-10-24T13:46:30Z</dcterms:modified>
  <cp:category/>
  <cp:contentStatus/>
</cp:coreProperties>
</file>